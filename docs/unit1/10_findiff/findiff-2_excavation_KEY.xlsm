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2.xml" ContentType="application/vnd.openxmlformats-officedocument.drawing+xml"/>
  <Override PartName="/xl/embeddings/oleObject1.bin" ContentType="application/vnd.openxmlformats-officedocument.oleObject"/>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3.xml" ContentType="application/vnd.openxmlformats-officedocument.drawing+xml"/>
  <Override PartName="/xl/activeX/activeX9.xml" ContentType="application/vnd.ms-office.activeX+xml"/>
  <Override PartName="/xl/activeX/activeX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129" codeName="{DC747B9D-DBBB-FA85-71B4-595EBAB97821}"/>
  <workbookPr codeName="ThisWorkbook" defaultThemeVersion="124226"/>
  <mc:AlternateContent xmlns:mc="http://schemas.openxmlformats.org/markup-compatibility/2006">
    <mc:Choice Requires="x15">
      <x15ac:absPath xmlns:x15ac="http://schemas.microsoft.com/office/spreadsheetml/2010/11/ac" url="C:\Users\Jones\My Drive\work - byu\courses\CE 544\exercises\8. finite difference\"/>
    </mc:Choice>
  </mc:AlternateContent>
  <xr:revisionPtr revIDLastSave="0" documentId="13_ncr:1_{C729BF25-E247-4E0D-B0AB-5768A042D0C4}" xr6:coauthVersionLast="47" xr6:coauthVersionMax="47" xr10:uidLastSave="{00000000-0000-0000-0000-000000000000}"/>
  <bookViews>
    <workbookView xWindow="17670" yWindow="870" windowWidth="24690" windowHeight="18750" xr2:uid="{00000000-000D-0000-FFFF-FFFF00000000}"/>
  </bookViews>
  <sheets>
    <sheet name="Main" sheetId="1" r:id="rId1"/>
    <sheet name="Gradient" sheetId="4" r:id="rId2"/>
    <sheet name="Flow Rate" sheetId="2" r:id="rId3"/>
  </sheets>
  <functionGroups builtInGroupCount="19"/>
  <definedNames>
    <definedName name="activecolor">Main!$D$6</definedName>
    <definedName name="arrowcolor">Main!$R$6</definedName>
    <definedName name="arrowsize">Main!$R$5</definedName>
    <definedName name="backgroundcolor">Main!$D$7</definedName>
    <definedName name="cellsize">Main!$H$6</definedName>
    <definedName name="criticalgradient">Gradient!$L$2</definedName>
    <definedName name="flowboundaryselection">'Flow Rate'!$D$5</definedName>
    <definedName name="H_1">Main!$H$4</definedName>
    <definedName name="H_2">Main!$H$5</definedName>
    <definedName name="h1color">Main!$D$4</definedName>
    <definedName name="h2color">Main!$D$5</definedName>
    <definedName name="k">'Flow Rate'!$D$3</definedName>
    <definedName name="length">'Flow Rate'!$D$4</definedName>
    <definedName name="lunit">Main!$M$4</definedName>
    <definedName name="problemdomain">Main!$C$10:$AF$35</definedName>
    <definedName name="totalq">'Flow Rate'!$C$15</definedName>
    <definedName name="tunit">Main!$M$5</definedName>
    <definedName name="unitq">'Flow Rate'!$C$14</definedName>
  </definedNames>
  <calcPr calcId="191029" calcMode="manual" iterate="1" iterateCount="20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X20" i="1" l="1"/>
  <c r="W20" i="1"/>
  <c r="V20" i="1"/>
  <c r="U20" i="1"/>
  <c r="U18" i="1"/>
  <c r="T18" i="1"/>
  <c r="S18" i="1"/>
  <c r="R18" i="1"/>
  <c r="Q18" i="1"/>
  <c r="P18" i="1"/>
  <c r="O18" i="1"/>
  <c r="N18" i="1"/>
  <c r="M18" i="1"/>
  <c r="L18" i="1"/>
  <c r="K18" i="1"/>
  <c r="J18" i="1"/>
  <c r="I18" i="1"/>
  <c r="P9" i="2" l="1"/>
  <c r="O9" i="2"/>
  <c r="N9" i="2"/>
  <c r="M9" i="2"/>
  <c r="L9" i="2"/>
  <c r="K9" i="2"/>
  <c r="J9" i="2"/>
  <c r="I9" i="2"/>
  <c r="H9" i="2"/>
  <c r="G9" i="2"/>
  <c r="F9" i="2"/>
  <c r="E9" i="2"/>
  <c r="D9" i="2"/>
  <c r="C9" i="2"/>
  <c r="E6" i="4" l="1"/>
  <c r="F6" i="4"/>
  <c r="D15" i="2"/>
  <c r="D14" i="2"/>
  <c r="E4" i="2"/>
  <c r="E3" i="2"/>
  <c r="M2" i="4"/>
  <c r="D36" i="4"/>
  <c r="E36" i="4" s="1"/>
  <c r="F36" i="4" s="1"/>
  <c r="G36" i="4" s="1"/>
  <c r="H36" i="4" s="1"/>
  <c r="I36" i="4" s="1"/>
  <c r="J36" i="4" s="1"/>
  <c r="K36" i="4" s="1"/>
  <c r="L36" i="4" s="1"/>
  <c r="M36" i="4" s="1"/>
  <c r="N36" i="4" s="1"/>
  <c r="O36" i="4" s="1"/>
  <c r="P36" i="4" s="1"/>
  <c r="Q36" i="4" s="1"/>
  <c r="R36" i="4" s="1"/>
  <c r="S36" i="4" s="1"/>
  <c r="T36" i="4" s="1"/>
  <c r="U36" i="4" s="1"/>
  <c r="V36" i="4" s="1"/>
  <c r="W36" i="4" s="1"/>
  <c r="X36" i="4" s="1"/>
  <c r="Y36" i="4" s="1"/>
  <c r="Z36" i="4" s="1"/>
  <c r="AA36" i="4" s="1"/>
  <c r="AB36" i="4" s="1"/>
  <c r="AC36" i="4" s="1"/>
  <c r="AD36" i="4" s="1"/>
  <c r="AE36" i="4" s="1"/>
  <c r="AF36" i="4" s="1"/>
  <c r="B34" i="4"/>
  <c r="B33" i="4" s="1"/>
  <c r="B32" i="4" s="1"/>
  <c r="B31" i="4" s="1"/>
  <c r="B30" i="4" s="1"/>
  <c r="B29" i="4" s="1"/>
  <c r="B28" i="4" s="1"/>
  <c r="B27" i="4" s="1"/>
  <c r="B26" i="4" s="1"/>
  <c r="B25" i="4" s="1"/>
  <c r="B24" i="4" s="1"/>
  <c r="B23" i="4" s="1"/>
  <c r="B22" i="4" s="1"/>
  <c r="B21" i="4" s="1"/>
  <c r="B20" i="4" s="1"/>
  <c r="B19" i="4" s="1"/>
  <c r="B18" i="4" s="1"/>
  <c r="B17" i="4" s="1"/>
  <c r="B16" i="4" s="1"/>
  <c r="B15" i="4" s="1"/>
  <c r="B14" i="4" s="1"/>
  <c r="B13" i="4" s="1"/>
  <c r="B12" i="4" s="1"/>
  <c r="B11" i="4" s="1"/>
  <c r="B10" i="4" s="1"/>
  <c r="D36" i="1"/>
  <c r="E36" i="1" s="1"/>
  <c r="F36" i="1" s="1"/>
  <c r="G36" i="1" s="1"/>
  <c r="H36" i="1" s="1"/>
  <c r="I36" i="1" s="1"/>
  <c r="J36" i="1" s="1"/>
  <c r="K36" i="1" s="1"/>
  <c r="L36" i="1" s="1"/>
  <c r="M36" i="1" s="1"/>
  <c r="N36" i="1" s="1"/>
  <c r="O36" i="1" s="1"/>
  <c r="P36" i="1" s="1"/>
  <c r="Q36" i="1" s="1"/>
  <c r="R36" i="1" s="1"/>
  <c r="S36" i="1" s="1"/>
  <c r="T36" i="1" s="1"/>
  <c r="U36" i="1" s="1"/>
  <c r="V36" i="1" s="1"/>
  <c r="W36" i="1" s="1"/>
  <c r="X36" i="1" s="1"/>
  <c r="Y36" i="1" s="1"/>
  <c r="Z36" i="1" s="1"/>
  <c r="AA36" i="1" s="1"/>
  <c r="AB36" i="1" s="1"/>
  <c r="AC36" i="1" s="1"/>
  <c r="AD36" i="1" s="1"/>
  <c r="AE36" i="1" s="1"/>
  <c r="AF36" i="1" s="1"/>
  <c r="B34" i="1"/>
  <c r="B33" i="1" s="1"/>
  <c r="B32" i="1" s="1"/>
  <c r="B31" i="1" s="1"/>
  <c r="B30" i="1" s="1"/>
  <c r="B29" i="1" s="1"/>
  <c r="B28" i="1" s="1"/>
  <c r="B27" i="1" s="1"/>
  <c r="B26" i="1" s="1"/>
  <c r="B25" i="1" s="1"/>
  <c r="B24" i="1" s="1"/>
  <c r="B23" i="1" s="1"/>
  <c r="B22" i="1" s="1"/>
  <c r="B21" i="1" s="1"/>
  <c r="B20" i="1" s="1"/>
  <c r="B19" i="1" s="1"/>
  <c r="B18" i="1" s="1"/>
  <c r="B17" i="1" s="1"/>
  <c r="B16" i="1" s="1"/>
  <c r="B15" i="1" s="1"/>
  <c r="B14" i="1" s="1"/>
  <c r="B13" i="1" s="1"/>
  <c r="B12" i="1" s="1"/>
  <c r="B11" i="1" s="1"/>
  <c r="B10" i="1" s="1"/>
  <c r="I6" i="1"/>
  <c r="I5" i="1"/>
  <c r="I4" i="1"/>
  <c r="C10" i="2"/>
  <c r="C11" i="2" s="1"/>
  <c r="C12" i="2" s="1"/>
  <c r="D10" i="2"/>
  <c r="E10" i="2"/>
  <c r="F10" i="2"/>
  <c r="G10" i="2"/>
  <c r="H10" i="2"/>
  <c r="I10" i="2"/>
  <c r="J10" i="2"/>
  <c r="K10" i="2"/>
  <c r="L10" i="2"/>
  <c r="M10" i="2"/>
  <c r="N10" i="2"/>
  <c r="O10" i="2"/>
  <c r="P10" i="2"/>
  <c r="D11" i="2"/>
  <c r="E11" i="2"/>
  <c r="F11" i="2"/>
  <c r="G11" i="2"/>
  <c r="H11" i="2"/>
  <c r="I11" i="2"/>
  <c r="J11" i="2"/>
  <c r="K11" i="2"/>
  <c r="L11" i="2"/>
  <c r="M11" i="2"/>
  <c r="N11" i="2"/>
  <c r="O11" i="2"/>
  <c r="P11" i="2"/>
  <c r="D12" i="2"/>
  <c r="E12" i="2"/>
  <c r="F12" i="2"/>
  <c r="G12" i="2"/>
  <c r="H12" i="2"/>
  <c r="I12" i="2"/>
  <c r="J12" i="2"/>
  <c r="K12" i="2"/>
  <c r="L12" i="2"/>
  <c r="M12" i="2"/>
  <c r="N12" i="2"/>
  <c r="O12" i="2"/>
  <c r="P12" i="2"/>
  <c r="C14" i="2"/>
  <c r="C15" i="2"/>
  <c r="I19" i="1"/>
  <c r="J19" i="1"/>
  <c r="K19" i="1"/>
  <c r="L19" i="1"/>
  <c r="M19" i="1"/>
  <c r="N19" i="1"/>
  <c r="O19" i="1"/>
  <c r="P19" i="1"/>
  <c r="Q19" i="1"/>
  <c r="R19" i="1"/>
  <c r="S19" i="1"/>
  <c r="T19" i="1"/>
  <c r="U19" i="1"/>
  <c r="I20" i="1"/>
  <c r="J20" i="1"/>
  <c r="K20" i="1"/>
  <c r="L20" i="1"/>
  <c r="M20" i="1"/>
  <c r="N20" i="1"/>
  <c r="O20" i="1"/>
  <c r="P20" i="1"/>
  <c r="Q20" i="1"/>
  <c r="R20" i="1"/>
  <c r="S20" i="1"/>
  <c r="T20" i="1"/>
  <c r="I21" i="1"/>
  <c r="J21" i="1"/>
  <c r="K21" i="1"/>
  <c r="L21" i="1"/>
  <c r="M21" i="1"/>
  <c r="N21" i="1"/>
  <c r="O21" i="1"/>
  <c r="P21" i="1"/>
  <c r="Q21" i="1"/>
  <c r="R21" i="1"/>
  <c r="S21" i="1"/>
  <c r="T21" i="1"/>
  <c r="U21" i="1"/>
  <c r="V21" i="1"/>
  <c r="W21" i="1"/>
  <c r="X21" i="1"/>
  <c r="I22" i="1"/>
  <c r="J22" i="1"/>
  <c r="K22" i="1"/>
  <c r="L22" i="1"/>
  <c r="M22" i="1"/>
  <c r="N22" i="1"/>
  <c r="O22" i="1"/>
  <c r="P22" i="1"/>
  <c r="Q22" i="1"/>
  <c r="R22" i="1"/>
  <c r="S22" i="1"/>
  <c r="T22" i="1"/>
  <c r="U22" i="1"/>
  <c r="V22" i="1"/>
  <c r="W22" i="1"/>
  <c r="X22" i="1"/>
  <c r="I23" i="1"/>
  <c r="J23" i="1"/>
  <c r="K23" i="1"/>
  <c r="L23" i="1"/>
  <c r="M23" i="1"/>
  <c r="N23" i="1"/>
  <c r="O23" i="1"/>
  <c r="P23" i="1"/>
  <c r="Q23" i="1"/>
  <c r="R23" i="1"/>
  <c r="S23" i="1"/>
  <c r="T23" i="1"/>
  <c r="U23" i="1"/>
  <c r="V23" i="1"/>
  <c r="W23" i="1"/>
  <c r="X23" i="1"/>
  <c r="I24" i="1"/>
  <c r="J24" i="1"/>
  <c r="K24" i="1"/>
  <c r="L24" i="1"/>
  <c r="M24" i="1"/>
  <c r="N24" i="1"/>
  <c r="O24" i="1"/>
  <c r="P24" i="1"/>
  <c r="Q24" i="1"/>
  <c r="R24" i="1"/>
  <c r="S24" i="1"/>
  <c r="T24" i="1"/>
  <c r="U24" i="1"/>
  <c r="V24" i="1"/>
  <c r="W24" i="1"/>
  <c r="X24" i="1"/>
</calcChain>
</file>

<file path=xl/sharedStrings.xml><?xml version="1.0" encoding="utf-8"?>
<sst xmlns="http://schemas.openxmlformats.org/spreadsheetml/2006/main" count="34" uniqueCount="30">
  <si>
    <t>Total Q:</t>
  </si>
  <si>
    <t>Finite Difference Solution - 2D Seepage</t>
  </si>
  <si>
    <t>Head 1:</t>
  </si>
  <si>
    <t>Head 2:</t>
  </si>
  <si>
    <t>Active:</t>
  </si>
  <si>
    <t>Background:</t>
  </si>
  <si>
    <t>day</t>
  </si>
  <si>
    <t>Length unit:</t>
  </si>
  <si>
    <t>Time unit:</t>
  </si>
  <si>
    <t>Cell Size:</t>
  </si>
  <si>
    <t>K:</t>
  </si>
  <si>
    <t>Hydraulic Gradient</t>
  </si>
  <si>
    <t>Y</t>
  </si>
  <si>
    <t>X</t>
  </si>
  <si>
    <t>Critical gradient:</t>
  </si>
  <si>
    <t>Flow Rate</t>
  </si>
  <si>
    <t>Problem length (transverse):</t>
  </si>
  <si>
    <t>Head boundary:</t>
  </si>
  <si>
    <t>&lt;-- Select 1 or 2</t>
  </si>
  <si>
    <t>dh/dy:</t>
  </si>
  <si>
    <t>qi:</t>
  </si>
  <si>
    <t>xi:</t>
  </si>
  <si>
    <t>Ai:</t>
  </si>
  <si>
    <t>vi:</t>
  </si>
  <si>
    <t>Unit Q:</t>
  </si>
  <si>
    <t>Max gradient:</t>
  </si>
  <si>
    <t>ft</t>
  </si>
  <si>
    <t>Arrow color:</t>
  </si>
  <si>
    <t>Arrow size:</t>
  </si>
  <si>
    <t>CE 544 - Brigham Young University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</si>
</sst>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000"/>
    <numFmt numFmtId="166" formatCode="0.00000"/>
    <numFmt numFmtId="167" formatCode="0.0000000"/>
  </numFmts>
  <fonts count="13" x14ac:knownFonts="1">
    <font>
      <sz val="10"/>
      <name val="Arial"/>
    </font>
    <font>
      <sz val="8"/>
      <name val="Arial"/>
      <family val="2"/>
    </font>
    <font>
      <b/>
      <sz val="18"/>
      <name val="Calibri"/>
      <family val="2"/>
      <scheme val="minor"/>
    </font>
    <font>
      <sz val="10"/>
      <name val="Calibri"/>
      <family val="2"/>
      <scheme val="minor"/>
    </font>
    <font>
      <i/>
      <sz val="10"/>
      <name val="Calibri"/>
      <family val="2"/>
      <scheme val="minor"/>
    </font>
    <font>
      <b/>
      <sz val="10"/>
      <name val="Calibri"/>
      <family val="2"/>
      <scheme val="minor"/>
    </font>
    <font>
      <b/>
      <sz val="8"/>
      <name val="Calibri"/>
      <family val="2"/>
      <scheme val="minor"/>
    </font>
    <font>
      <i/>
      <sz val="8"/>
      <name val="Calibri"/>
      <family val="2"/>
      <scheme val="minor"/>
    </font>
    <font>
      <sz val="8"/>
      <name val="Calibri"/>
      <family val="2"/>
      <scheme val="minor"/>
    </font>
    <font>
      <b/>
      <sz val="10"/>
      <color rgb="FF0070C0"/>
      <name val="Calibri"/>
      <family val="2"/>
      <scheme val="minor"/>
    </font>
    <font>
      <sz val="9"/>
      <name val="Calibri"/>
      <family val="2"/>
      <scheme val="minor"/>
    </font>
    <font>
      <b/>
      <sz val="20"/>
      <name val="Calibri"/>
      <family val="2"/>
      <scheme val="minor"/>
    </font>
    <font>
      <b/>
      <sz val="16"/>
      <name val="Calibri"/>
      <family val="2"/>
      <scheme val="minor"/>
    </font>
  </fonts>
  <fills count="9">
    <fill>
      <patternFill patternType="none"/>
    </fill>
    <fill>
      <patternFill patternType="gray125"/>
    </fill>
    <fill>
      <patternFill patternType="solid">
        <fgColor theme="0"/>
        <bgColor indexed="64"/>
      </patternFill>
    </fill>
    <fill>
      <patternFill patternType="solid">
        <fgColor theme="9" tint="-0.249977111117893"/>
        <bgColor indexed="64"/>
      </patternFill>
    </fill>
    <fill>
      <patternFill patternType="solid">
        <fgColor theme="5" tint="0.39997558519241921"/>
        <bgColor indexed="64"/>
      </patternFill>
    </fill>
    <fill>
      <patternFill patternType="solid">
        <fgColor theme="9" tint="0.59999389629810485"/>
        <bgColor indexed="64"/>
      </patternFill>
    </fill>
    <fill>
      <patternFill patternType="solid">
        <fgColor theme="1"/>
        <bgColor indexed="64"/>
      </patternFill>
    </fill>
    <fill>
      <patternFill patternType="solid">
        <fgColor theme="0" tint="-0.249977111117893"/>
        <bgColor indexed="64"/>
      </patternFill>
    </fill>
    <fill>
      <patternFill patternType="solid">
        <fgColor rgb="FF0000FF"/>
        <bgColor indexed="64"/>
      </patternFill>
    </fill>
  </fills>
  <borders count="9">
    <border>
      <left/>
      <right/>
      <top/>
      <bottom/>
      <diagonal/>
    </border>
    <border>
      <left style="thin">
        <color indexed="64"/>
      </left>
      <right/>
      <top/>
      <bottom/>
      <diagonal/>
    </border>
    <border>
      <left/>
      <right/>
      <top style="thin">
        <color indexed="64"/>
      </top>
      <bottom/>
      <diagonal/>
    </border>
    <border>
      <left/>
      <right/>
      <top/>
      <bottom style="thin">
        <color indexed="64"/>
      </bottom>
      <diagonal/>
    </border>
    <border>
      <left/>
      <right style="thin">
        <color indexed="64"/>
      </right>
      <top/>
      <bottom/>
      <diagonal/>
    </border>
    <border>
      <left/>
      <right/>
      <top style="medium">
        <color indexed="64"/>
      </top>
      <bottom/>
      <diagonal/>
    </border>
    <border>
      <left style="thin">
        <color indexed="64"/>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s>
  <cellStyleXfs count="1">
    <xf numFmtId="0" fontId="0" fillId="0" borderId="0"/>
  </cellStyleXfs>
  <cellXfs count="47">
    <xf numFmtId="0" fontId="0" fillId="0" borderId="0" xfId="0"/>
    <xf numFmtId="0" fontId="2" fillId="0" borderId="0" xfId="0" applyFont="1"/>
    <xf numFmtId="0" fontId="3" fillId="0" borderId="0" xfId="0" applyFont="1"/>
    <xf numFmtId="0" fontId="4" fillId="0" borderId="0" xfId="0" applyFont="1"/>
    <xf numFmtId="0" fontId="5" fillId="0" borderId="0" xfId="0" applyFont="1" applyAlignment="1">
      <alignment horizontal="right"/>
    </xf>
    <xf numFmtId="0" fontId="3" fillId="0" borderId="0" xfId="0" applyFont="1" applyAlignment="1">
      <alignment horizontal="center"/>
    </xf>
    <xf numFmtId="0" fontId="3" fillId="0" borderId="1" xfId="0" applyFont="1" applyBorder="1" applyAlignment="1">
      <alignment horizontal="center"/>
    </xf>
    <xf numFmtId="0" fontId="6" fillId="0" borderId="0" xfId="0" applyFont="1"/>
    <xf numFmtId="0" fontId="7" fillId="0" borderId="0" xfId="0" applyFont="1"/>
    <xf numFmtId="0" fontId="8" fillId="0" borderId="0" xfId="0" applyFont="1"/>
    <xf numFmtId="0" fontId="3" fillId="0" borderId="2" xfId="0" applyFont="1" applyBorder="1" applyAlignment="1">
      <alignment horizontal="center" vertical="top"/>
    </xf>
    <xf numFmtId="0" fontId="3" fillId="0" borderId="0" xfId="0" applyFont="1" applyAlignment="1">
      <alignment horizontal="center" vertical="top"/>
    </xf>
    <xf numFmtId="0" fontId="3" fillId="0" borderId="3" xfId="0" applyFont="1" applyBorder="1" applyAlignment="1">
      <alignment horizontal="center" vertical="top"/>
    </xf>
    <xf numFmtId="0" fontId="3" fillId="0" borderId="4" xfId="0" applyFont="1" applyBorder="1" applyAlignment="1">
      <alignment horizontal="center"/>
    </xf>
    <xf numFmtId="165" fontId="3" fillId="0" borderId="0" xfId="0" applyNumberFormat="1" applyFont="1"/>
    <xf numFmtId="166" fontId="3" fillId="0" borderId="0" xfId="0" applyNumberFormat="1" applyFont="1"/>
    <xf numFmtId="167" fontId="0" fillId="0" borderId="0" xfId="0" applyNumberFormat="1"/>
    <xf numFmtId="165" fontId="3" fillId="0" borderId="0" xfId="0" applyNumberFormat="1" applyFont="1" applyAlignment="1">
      <alignment horizontal="center"/>
    </xf>
    <xf numFmtId="165" fontId="9" fillId="2" borderId="0" xfId="0" applyNumberFormat="1" applyFont="1" applyFill="1" applyAlignment="1">
      <alignment horizontal="center"/>
    </xf>
    <xf numFmtId="164" fontId="9" fillId="2" borderId="0" xfId="0" applyNumberFormat="1" applyFont="1" applyFill="1" applyAlignment="1">
      <alignment horizontal="center"/>
    </xf>
    <xf numFmtId="2" fontId="3" fillId="0" borderId="0" xfId="0" applyNumberFormat="1" applyFont="1" applyAlignment="1">
      <alignment horizontal="center"/>
    </xf>
    <xf numFmtId="0" fontId="3" fillId="3" borderId="0" xfId="0" applyFont="1" applyFill="1" applyAlignment="1">
      <alignment horizontal="center" vertical="top"/>
    </xf>
    <xf numFmtId="0" fontId="3" fillId="4" borderId="0" xfId="0" applyFont="1" applyFill="1" applyAlignment="1">
      <alignment horizontal="center" vertical="top"/>
    </xf>
    <xf numFmtId="0" fontId="3" fillId="5" borderId="0" xfId="0" applyFont="1" applyFill="1" applyAlignment="1">
      <alignment horizontal="center" vertical="top"/>
    </xf>
    <xf numFmtId="0" fontId="3" fillId="6" borderId="5" xfId="0" applyFont="1" applyFill="1" applyBorder="1" applyAlignment="1">
      <alignment horizontal="center" vertical="top"/>
    </xf>
    <xf numFmtId="164" fontId="10" fillId="6" borderId="0" xfId="0" applyNumberFormat="1" applyFont="1" applyFill="1"/>
    <xf numFmtId="2" fontId="10" fillId="6" borderId="0" xfId="0" applyNumberFormat="1" applyFont="1" applyFill="1"/>
    <xf numFmtId="0" fontId="5" fillId="0" borderId="0" xfId="0" applyFont="1"/>
    <xf numFmtId="0" fontId="3" fillId="8" borderId="0" xfId="0" applyFont="1" applyFill="1"/>
    <xf numFmtId="164" fontId="10" fillId="6" borderId="0" xfId="0" applyNumberFormat="1" applyFont="1" applyFill="1" applyAlignment="1">
      <alignment horizontal="center"/>
    </xf>
    <xf numFmtId="2" fontId="3" fillId="4" borderId="0" xfId="0" applyNumberFormat="1" applyFont="1" applyFill="1" applyAlignment="1">
      <alignment horizontal="center" vertical="top"/>
    </xf>
    <xf numFmtId="2" fontId="3" fillId="3" borderId="0" xfId="0" applyNumberFormat="1" applyFont="1" applyFill="1" applyAlignment="1">
      <alignment horizontal="center" vertical="top"/>
    </xf>
    <xf numFmtId="164" fontId="10" fillId="5" borderId="0" xfId="0" applyNumberFormat="1" applyFont="1" applyFill="1" applyAlignment="1">
      <alignment horizontal="center"/>
    </xf>
    <xf numFmtId="2" fontId="10" fillId="6" borderId="0" xfId="0" applyNumberFormat="1" applyFont="1" applyFill="1" applyAlignment="1">
      <alignment horizontal="center"/>
    </xf>
    <xf numFmtId="2" fontId="10" fillId="5" borderId="0" xfId="0" applyNumberFormat="1" applyFont="1" applyFill="1" applyAlignment="1">
      <alignment horizontal="center"/>
    </xf>
    <xf numFmtId="0" fontId="11" fillId="7" borderId="6" xfId="0" applyFont="1" applyFill="1" applyBorder="1" applyAlignment="1">
      <alignment horizontal="center" vertical="center" textRotation="90"/>
    </xf>
    <xf numFmtId="0" fontId="11" fillId="7" borderId="1" xfId="0" applyFont="1" applyFill="1" applyBorder="1" applyAlignment="1">
      <alignment horizontal="center" vertical="center" textRotation="90"/>
    </xf>
    <xf numFmtId="0" fontId="11" fillId="7" borderId="7" xfId="0" applyFont="1" applyFill="1" applyBorder="1" applyAlignment="1">
      <alignment horizontal="center" vertical="center" textRotation="90"/>
    </xf>
    <xf numFmtId="0" fontId="11" fillId="7" borderId="7" xfId="0" applyFont="1" applyFill="1" applyBorder="1" applyAlignment="1">
      <alignment horizontal="center"/>
    </xf>
    <xf numFmtId="0" fontId="11" fillId="7" borderId="3" xfId="0" applyFont="1" applyFill="1" applyBorder="1" applyAlignment="1">
      <alignment horizontal="center"/>
    </xf>
    <xf numFmtId="0" fontId="11" fillId="7" borderId="8" xfId="0" applyFont="1" applyFill="1" applyBorder="1" applyAlignment="1">
      <alignment horizontal="center"/>
    </xf>
    <xf numFmtId="0" fontId="12" fillId="7" borderId="6" xfId="0" applyFont="1" applyFill="1" applyBorder="1" applyAlignment="1">
      <alignment horizontal="center" vertical="center" textRotation="90"/>
    </xf>
    <xf numFmtId="0" fontId="12" fillId="7" borderId="1" xfId="0" applyFont="1" applyFill="1" applyBorder="1" applyAlignment="1">
      <alignment horizontal="center" vertical="center" textRotation="90"/>
    </xf>
    <xf numFmtId="0" fontId="12" fillId="7" borderId="7" xfId="0" applyFont="1" applyFill="1" applyBorder="1" applyAlignment="1">
      <alignment horizontal="center" vertical="center" textRotation="90"/>
    </xf>
    <xf numFmtId="0" fontId="12" fillId="7" borderId="7" xfId="0" applyFont="1" applyFill="1" applyBorder="1" applyAlignment="1">
      <alignment horizontal="center"/>
    </xf>
    <xf numFmtId="0" fontId="12" fillId="7" borderId="3" xfId="0" applyFont="1" applyFill="1" applyBorder="1" applyAlignment="1">
      <alignment horizontal="center"/>
    </xf>
    <xf numFmtId="0" fontId="12" fillId="7" borderId="8" xfId="0" applyFont="1" applyFill="1" applyBorder="1" applyAlignment="1">
      <alignment horizontal="center"/>
    </xf>
  </cellXfs>
  <cellStyles count="1">
    <cellStyle name="Normal" xfId="0" builtinId="0"/>
  </cellStyles>
  <dxfs count="1">
    <dxf>
      <fill>
        <patternFill>
          <fgColor indexed="64"/>
          <bgColor rgb="FFFFFF00"/>
        </patternFill>
      </fill>
    </dxf>
  </dxfs>
  <tableStyles count="0" defaultTableStyle="TableStyleMedium9"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50-EC42-11CE-9E0D-00AA006002F3}" ax:persistence="persistStreamInit" r:id="rId1"/>
</file>

<file path=xl/activeX/activeX6.xml><?xml version="1.0" encoding="utf-8"?>
<ax:ocx xmlns:ax="http://schemas.microsoft.com/office/2006/activeX" xmlns:r="http://schemas.openxmlformats.org/officeDocument/2006/relationships" ax:classid="{8BD21D50-EC42-11CE-9E0D-00AA006002F3}" ax:persistence="persistStreamInit" r:id="rId1"/>
</file>

<file path=xl/activeX/activeX7.xml><?xml version="1.0" encoding="utf-8"?>
<ax:ocx xmlns:ax="http://schemas.microsoft.com/office/2006/activeX" xmlns:r="http://schemas.openxmlformats.org/officeDocument/2006/relationships" ax:classid="{8BD21D50-EC42-11CE-9E0D-00AA006002F3}"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image" Target="../media/image5.wmf"/><Relationship Id="rId1" Type="http://schemas.openxmlformats.org/officeDocument/2006/relationships/image" Target="../media/image9.emf"/><Relationship Id="rId5" Type="http://schemas.openxmlformats.org/officeDocument/2006/relationships/image" Target="../media/image6.emf"/><Relationship Id="rId4"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xdr:twoCellAnchor>
    <xdr:from>
      <xdr:col>19</xdr:col>
      <xdr:colOff>19242</xdr:colOff>
      <xdr:row>0</xdr:row>
      <xdr:rowOff>144318</xdr:rowOff>
    </xdr:from>
    <xdr:to>
      <xdr:col>31</xdr:col>
      <xdr:colOff>240529</xdr:colOff>
      <xdr:row>8</xdr:row>
      <xdr:rowOff>76970</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5945909" y="144318"/>
          <a:ext cx="3915832" cy="138545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000" b="1"/>
            <a:t>Directions</a:t>
          </a:r>
          <a:r>
            <a:rPr lang="en-US" sz="1000"/>
            <a:t>: This spreadsheet</a:t>
          </a:r>
          <a:r>
            <a:rPr lang="en-US" sz="1000" baseline="0"/>
            <a:t> solved seepage problems using the finite difference method.  It is assumed that kx=ky and that dx=dy.  Fill the problem domain shown below with the proper colors according to the legend and click on the "Build Equations" button.  Then hit F9 repeatedly to solve the equations iteratively.  Any cell not colored as Head 1, Head 2, or Active is assumed to be inactive (no-flow).  The grid is mesh-centered, i.e., each cell corresponds to a corner node of the implicitly-defined grid.</a:t>
          </a:r>
          <a:endParaRPr lang="en-US" sz="1000"/>
        </a:p>
      </xdr:txBody>
    </xdr:sp>
    <xdr:clientData/>
  </xdr:twoCellAnchor>
  <mc:AlternateContent xmlns:mc="http://schemas.openxmlformats.org/markup-compatibility/2006">
    <mc:Choice xmlns:a14="http://schemas.microsoft.com/office/drawing/2010/main" Requires="a14">
      <xdr:twoCellAnchor editAs="oneCell">
        <xdr:from>
          <xdr:col>9</xdr:col>
          <xdr:colOff>171450</xdr:colOff>
          <xdr:row>6</xdr:row>
          <xdr:rowOff>47625</xdr:rowOff>
        </xdr:from>
        <xdr:to>
          <xdr:col>13</xdr:col>
          <xdr:colOff>0</xdr:colOff>
          <xdr:row>8</xdr:row>
          <xdr:rowOff>19050</xdr:rowOff>
        </xdr:to>
        <xdr:sp macro="" textlink="">
          <xdr:nvSpPr>
            <xdr:cNvPr id="1072" name="cmdBuildEquations"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266700</xdr:colOff>
          <xdr:row>1</xdr:row>
          <xdr:rowOff>0</xdr:rowOff>
        </xdr:from>
        <xdr:to>
          <xdr:col>18</xdr:col>
          <xdr:colOff>257175</xdr:colOff>
          <xdr:row>2</xdr:row>
          <xdr:rowOff>85725</xdr:rowOff>
        </xdr:to>
        <xdr:sp macro="" textlink="">
          <xdr:nvSpPr>
            <xdr:cNvPr id="1073" name="chkColorShade"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257175</xdr:colOff>
          <xdr:row>2</xdr:row>
          <xdr:rowOff>95250</xdr:rowOff>
        </xdr:from>
        <xdr:to>
          <xdr:col>18</xdr:col>
          <xdr:colOff>161925</xdr:colOff>
          <xdr:row>3</xdr:row>
          <xdr:rowOff>142875</xdr:rowOff>
        </xdr:to>
        <xdr:sp macro="" textlink="">
          <xdr:nvSpPr>
            <xdr:cNvPr id="1074" name="chkFlowDirections"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238125</xdr:colOff>
          <xdr:row>6</xdr:row>
          <xdr:rowOff>76200</xdr:rowOff>
        </xdr:from>
        <xdr:to>
          <xdr:col>18</xdr:col>
          <xdr:colOff>19050</xdr:colOff>
          <xdr:row>8</xdr:row>
          <xdr:rowOff>0</xdr:rowOff>
        </xdr:to>
        <xdr:sp macro="" textlink="">
          <xdr:nvSpPr>
            <xdr:cNvPr id="1075" name="cmdRedrawArrows"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16</xdr:col>
      <xdr:colOff>238126</xdr:colOff>
      <xdr:row>0</xdr:row>
      <xdr:rowOff>133350</xdr:rowOff>
    </xdr:from>
    <xdr:to>
      <xdr:col>31</xdr:col>
      <xdr:colOff>85726</xdr:colOff>
      <xdr:row>7</xdr:row>
      <xdr:rowOff>104775</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5153026" y="133350"/>
          <a:ext cx="4419600" cy="1238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000" b="1">
              <a:solidFill>
                <a:schemeClr val="dk1"/>
              </a:solidFill>
              <a:latin typeface="+mn-lt"/>
              <a:ea typeface="+mn-ea"/>
              <a:cs typeface="+mn-cs"/>
            </a:rPr>
            <a:t>Directions</a:t>
          </a:r>
          <a:r>
            <a:rPr lang="en-US" sz="1000">
              <a:solidFill>
                <a:schemeClr val="dk1"/>
              </a:solidFill>
              <a:latin typeface="+mn-lt"/>
              <a:ea typeface="+mn-ea"/>
              <a:cs typeface="+mn-cs"/>
            </a:rPr>
            <a:t>:  This</a:t>
          </a:r>
          <a:r>
            <a:rPr lang="en-US" sz="1000" baseline="0">
              <a:solidFill>
                <a:schemeClr val="dk1"/>
              </a:solidFill>
              <a:latin typeface="+mn-lt"/>
              <a:ea typeface="+mn-ea"/>
              <a:cs typeface="+mn-cs"/>
            </a:rPr>
            <a:t> sheet is used to compute the hydraulic gradient in each cell using the heads computed on the Main sheet.  This sheet does not use formulas (all calculations are done in the VB code) so the gradients need to be re-calculated whenever the values in the Main sheet are updated.  Conditional formatting is used to highlights cells with gradients above the critical value.  You may need to press F9 to update the formatting.  The gradient is the overall gradient magnitude as shown in the equation on the right.</a:t>
          </a:r>
          <a:endParaRPr lang="en-US" sz="1000">
            <a:solidFill>
              <a:schemeClr val="dk1"/>
            </a:solidFill>
            <a:latin typeface="+mn-lt"/>
            <a:ea typeface="+mn-ea"/>
            <a:cs typeface="+mn-cs"/>
          </a:endParaRPr>
        </a:p>
        <a:p>
          <a:endParaRPr lang="en-US" sz="1000"/>
        </a:p>
      </xdr:txBody>
    </xdr:sp>
    <xdr:clientData/>
  </xdr:twoCellAnchor>
  <mc:AlternateContent xmlns:mc="http://schemas.openxmlformats.org/markup-compatibility/2006">
    <mc:Choice xmlns:a14="http://schemas.microsoft.com/office/drawing/2010/main" Requires="a14">
      <xdr:twoCellAnchor editAs="oneCell">
        <xdr:from>
          <xdr:col>1</xdr:col>
          <xdr:colOff>142875</xdr:colOff>
          <xdr:row>2</xdr:row>
          <xdr:rowOff>9525</xdr:rowOff>
        </xdr:from>
        <xdr:to>
          <xdr:col>5</xdr:col>
          <xdr:colOff>285750</xdr:colOff>
          <xdr:row>4</xdr:row>
          <xdr:rowOff>38100</xdr:rowOff>
        </xdr:to>
        <xdr:sp macro="" textlink="">
          <xdr:nvSpPr>
            <xdr:cNvPr id="2049" name="cmdCalculateGradients"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31</xdr:col>
          <xdr:colOff>238125</xdr:colOff>
          <xdr:row>2</xdr:row>
          <xdr:rowOff>19050</xdr:rowOff>
        </xdr:from>
        <xdr:to>
          <xdr:col>34</xdr:col>
          <xdr:colOff>38100</xdr:colOff>
          <xdr:row>5</xdr:row>
          <xdr:rowOff>66675</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28575</xdr:colOff>
          <xdr:row>3</xdr:row>
          <xdr:rowOff>19050</xdr:rowOff>
        </xdr:from>
        <xdr:to>
          <xdr:col>14</xdr:col>
          <xdr:colOff>219075</xdr:colOff>
          <xdr:row>4</xdr:row>
          <xdr:rowOff>104775</xdr:rowOff>
        </xdr:to>
        <xdr:sp macro="" textlink="">
          <xdr:nvSpPr>
            <xdr:cNvPr id="2055" name="optRemove"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4</xdr:row>
          <xdr:rowOff>104775</xdr:rowOff>
        </xdr:from>
        <xdr:to>
          <xdr:col>16</xdr:col>
          <xdr:colOff>76200</xdr:colOff>
          <xdr:row>6</xdr:row>
          <xdr:rowOff>28575</xdr:rowOff>
        </xdr:to>
        <xdr:sp macro="" textlink="">
          <xdr:nvSpPr>
            <xdr:cNvPr id="2056" name="optHighlight"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6</xdr:row>
          <xdr:rowOff>19050</xdr:rowOff>
        </xdr:from>
        <xdr:to>
          <xdr:col>15</xdr:col>
          <xdr:colOff>180975</xdr:colOff>
          <xdr:row>7</xdr:row>
          <xdr:rowOff>104775</xdr:rowOff>
        </xdr:to>
        <xdr:sp macro="" textlink="">
          <xdr:nvSpPr>
            <xdr:cNvPr id="2057" name="optColorShade"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8</xdr:col>
      <xdr:colOff>552450</xdr:colOff>
      <xdr:row>0</xdr:row>
      <xdr:rowOff>142875</xdr:rowOff>
    </xdr:from>
    <xdr:to>
      <xdr:col>16</xdr:col>
      <xdr:colOff>390525</xdr:colOff>
      <xdr:row>6</xdr:row>
      <xdr:rowOff>57150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5438775" y="142875"/>
          <a:ext cx="4714875" cy="1019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000" b="1">
              <a:solidFill>
                <a:schemeClr val="dk1"/>
              </a:solidFill>
              <a:latin typeface="+mn-lt"/>
              <a:ea typeface="+mn-ea"/>
              <a:cs typeface="+mn-cs"/>
            </a:rPr>
            <a:t>Directions</a:t>
          </a:r>
          <a:r>
            <a:rPr lang="en-US" sz="1000">
              <a:solidFill>
                <a:schemeClr val="dk1"/>
              </a:solidFill>
              <a:latin typeface="+mn-lt"/>
              <a:ea typeface="+mn-ea"/>
              <a:cs typeface="+mn-cs"/>
            </a:rPr>
            <a:t>:  This</a:t>
          </a:r>
          <a:r>
            <a:rPr lang="en-US" sz="1000" baseline="0">
              <a:solidFill>
                <a:schemeClr val="dk1"/>
              </a:solidFill>
              <a:latin typeface="+mn-lt"/>
              <a:ea typeface="+mn-ea"/>
              <a:cs typeface="+mn-cs"/>
            </a:rPr>
            <a:t> sheet is used to compute the flowrate through the problem domain.  The calculations are based on one of the two head boundaries.  The code assumes that the boundary is horizontal so you should not select a vertical boundary.  If both boundaries are horizontal, you should pick the one with the largest number of cells.  These calculations should be performed after the head solution is found on the Main sheet.</a:t>
          </a:r>
          <a:endParaRPr lang="en-US" sz="1000">
            <a:solidFill>
              <a:schemeClr val="dk1"/>
            </a:solidFill>
            <a:latin typeface="+mn-lt"/>
            <a:ea typeface="+mn-ea"/>
            <a:cs typeface="+mn-cs"/>
          </a:endParaRPr>
        </a:p>
        <a:p>
          <a:endParaRPr lang="en-US" sz="1000"/>
        </a:p>
      </xdr:txBody>
    </xdr:sp>
    <xdr:clientData/>
  </xdr:twoCellAnchor>
  <mc:AlternateContent xmlns:mc="http://schemas.openxmlformats.org/markup-compatibility/2006">
    <mc:Choice xmlns:a14="http://schemas.microsoft.com/office/drawing/2010/main" Requires="a14">
      <xdr:twoCellAnchor editAs="oneCell">
        <xdr:from>
          <xdr:col>6</xdr:col>
          <xdr:colOff>19050</xdr:colOff>
          <xdr:row>2</xdr:row>
          <xdr:rowOff>76200</xdr:rowOff>
        </xdr:from>
        <xdr:to>
          <xdr:col>8</xdr:col>
          <xdr:colOff>28575</xdr:colOff>
          <xdr:row>4</xdr:row>
          <xdr:rowOff>38100</xdr:rowOff>
        </xdr:to>
        <xdr:sp macro="" textlink="">
          <xdr:nvSpPr>
            <xdr:cNvPr id="3073" name="cmdCalculateFlowRate"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6.xml"/><Relationship Id="rId13" Type="http://schemas.openxmlformats.org/officeDocument/2006/relationships/image" Target="../media/image9.emf"/><Relationship Id="rId3" Type="http://schemas.openxmlformats.org/officeDocument/2006/relationships/vmlDrawing" Target="../drawings/vmlDrawing2.vml"/><Relationship Id="rId7" Type="http://schemas.openxmlformats.org/officeDocument/2006/relationships/image" Target="../media/image6.emf"/><Relationship Id="rId12" Type="http://schemas.openxmlformats.org/officeDocument/2006/relationships/control" Target="../activeX/activeX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5.xml"/><Relationship Id="rId11" Type="http://schemas.openxmlformats.org/officeDocument/2006/relationships/image" Target="../media/image8.emf"/><Relationship Id="rId5" Type="http://schemas.openxmlformats.org/officeDocument/2006/relationships/image" Target="../media/image5.wmf"/><Relationship Id="rId10" Type="http://schemas.openxmlformats.org/officeDocument/2006/relationships/control" Target="../activeX/activeX7.xml"/><Relationship Id="rId4" Type="http://schemas.openxmlformats.org/officeDocument/2006/relationships/oleObject" Target="../embeddings/oleObject1.bin"/><Relationship Id="rId9" Type="http://schemas.openxmlformats.org/officeDocument/2006/relationships/image" Target="../media/image7.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10.emf"/><Relationship Id="rId4" Type="http://schemas.openxmlformats.org/officeDocument/2006/relationships/control" Target="../activeX/activeX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37"/>
  <sheetViews>
    <sheetView showGridLines="0" tabSelected="1" zoomScaleNormal="100" workbookViewId="0">
      <selection activeCell="A2" sqref="A2"/>
    </sheetView>
  </sheetViews>
  <sheetFormatPr defaultRowHeight="12.75" x14ac:dyDescent="0.2"/>
  <cols>
    <col min="1" max="1" width="5.140625" style="2" customWidth="1"/>
    <col min="2" max="2" width="5.140625" style="9" customWidth="1"/>
    <col min="3" max="9" width="4.5703125" style="2" bestFit="1" customWidth="1"/>
    <col min="10" max="10" width="4.5703125" style="2" customWidth="1"/>
    <col min="11" max="15" width="4.5703125" style="2" bestFit="1" customWidth="1"/>
    <col min="16" max="32" width="4.5703125" style="2" customWidth="1"/>
    <col min="33" max="16384" width="9.140625" style="2"/>
  </cols>
  <sheetData>
    <row r="1" spans="1:32" ht="23.25" x14ac:dyDescent="0.35">
      <c r="A1" s="1" t="s">
        <v>1</v>
      </c>
      <c r="B1" s="7"/>
    </row>
    <row r="2" spans="1:32" x14ac:dyDescent="0.2">
      <c r="A2" s="3" t="s">
        <v>29</v>
      </c>
      <c r="B2" s="8"/>
    </row>
    <row r="3" spans="1:32" x14ac:dyDescent="0.2">
      <c r="A3" s="3"/>
      <c r="B3" s="8"/>
    </row>
    <row r="4" spans="1:32" x14ac:dyDescent="0.2">
      <c r="A4" s="3"/>
      <c r="B4" s="2"/>
      <c r="C4" s="4" t="s">
        <v>2</v>
      </c>
      <c r="D4" s="22"/>
      <c r="G4" s="4" t="s">
        <v>2</v>
      </c>
      <c r="H4" s="5">
        <v>60</v>
      </c>
      <c r="I4" s="2" t="str">
        <f>"[" &amp; lunit &amp; "]"</f>
        <v>[ft]</v>
      </c>
      <c r="L4" s="4" t="s">
        <v>7</v>
      </c>
      <c r="M4" s="5" t="s">
        <v>26</v>
      </c>
    </row>
    <row r="5" spans="1:32" x14ac:dyDescent="0.2">
      <c r="A5" s="3"/>
      <c r="B5" s="2"/>
      <c r="C5" s="4" t="s">
        <v>3</v>
      </c>
      <c r="D5" s="21"/>
      <c r="G5" s="4" t="s">
        <v>3</v>
      </c>
      <c r="H5" s="5">
        <v>40</v>
      </c>
      <c r="I5" s="2" t="str">
        <f>"[" &amp; lunit &amp; "]"</f>
        <v>[ft]</v>
      </c>
      <c r="L5" s="4" t="s">
        <v>8</v>
      </c>
      <c r="M5" s="5" t="s">
        <v>6</v>
      </c>
      <c r="Q5" s="4" t="s">
        <v>28</v>
      </c>
      <c r="R5" s="5">
        <v>20</v>
      </c>
    </row>
    <row r="6" spans="1:32" ht="13.5" thickBot="1" x14ac:dyDescent="0.25">
      <c r="A6" s="3"/>
      <c r="B6" s="2"/>
      <c r="C6" s="4" t="s">
        <v>4</v>
      </c>
      <c r="D6" s="23"/>
      <c r="G6" s="4" t="s">
        <v>9</v>
      </c>
      <c r="H6" s="5">
        <v>10</v>
      </c>
      <c r="I6" s="2" t="str">
        <f>"[" &amp; lunit &amp; "]"</f>
        <v>[ft]</v>
      </c>
      <c r="Q6" s="4" t="s">
        <v>27</v>
      </c>
      <c r="R6" s="28"/>
    </row>
    <row r="7" spans="1:32" x14ac:dyDescent="0.2">
      <c r="A7" s="3"/>
      <c r="B7" s="2"/>
      <c r="C7" s="4" t="s">
        <v>5</v>
      </c>
      <c r="D7" s="24"/>
      <c r="P7" s="27"/>
    </row>
    <row r="8" spans="1:32" x14ac:dyDescent="0.2">
      <c r="B8" s="2"/>
    </row>
    <row r="10" spans="1:32" x14ac:dyDescent="0.2">
      <c r="A10" s="35" t="s">
        <v>12</v>
      </c>
      <c r="B10" s="10">
        <f t="shared" ref="B10:B34" si="0">B11+cellsize</f>
        <v>250</v>
      </c>
      <c r="C10" s="25"/>
      <c r="D10" s="25"/>
      <c r="E10" s="25"/>
      <c r="F10" s="25"/>
      <c r="G10" s="25"/>
      <c r="H10" s="25"/>
      <c r="I10" s="25"/>
      <c r="J10" s="25"/>
      <c r="K10" s="25"/>
      <c r="L10" s="25"/>
      <c r="M10" s="25"/>
      <c r="N10" s="25"/>
      <c r="O10" s="25"/>
      <c r="P10" s="25"/>
      <c r="Q10" s="25"/>
      <c r="R10" s="25"/>
      <c r="S10" s="25"/>
      <c r="T10" s="25"/>
      <c r="U10" s="25"/>
      <c r="V10" s="25"/>
      <c r="W10" s="25"/>
      <c r="X10" s="25"/>
      <c r="Y10" s="25"/>
      <c r="Z10" s="25"/>
      <c r="AA10" s="25"/>
      <c r="AB10" s="25"/>
      <c r="AC10" s="25"/>
      <c r="AD10" s="25"/>
      <c r="AE10" s="25"/>
      <c r="AF10" s="25"/>
    </row>
    <row r="11" spans="1:32" x14ac:dyDescent="0.2">
      <c r="A11" s="36"/>
      <c r="B11" s="11">
        <f t="shared" si="0"/>
        <v>240</v>
      </c>
      <c r="C11" s="25"/>
      <c r="D11" s="25"/>
      <c r="E11" s="25"/>
      <c r="F11" s="25"/>
      <c r="G11" s="25"/>
      <c r="H11" s="25"/>
      <c r="I11" s="25"/>
      <c r="J11" s="25"/>
      <c r="K11" s="25"/>
      <c r="L11" s="25"/>
      <c r="M11" s="25"/>
      <c r="N11" s="25"/>
      <c r="O11" s="25"/>
      <c r="P11" s="25"/>
      <c r="Q11" s="25"/>
      <c r="R11" s="25"/>
      <c r="S11" s="25"/>
      <c r="T11" s="25"/>
      <c r="U11" s="25"/>
      <c r="V11" s="25"/>
      <c r="W11" s="25"/>
      <c r="X11" s="25"/>
      <c r="Y11" s="25"/>
      <c r="Z11" s="25"/>
      <c r="AA11" s="25"/>
      <c r="AB11" s="25"/>
      <c r="AC11" s="25"/>
      <c r="AD11" s="25"/>
      <c r="AE11" s="25"/>
      <c r="AF11" s="25"/>
    </row>
    <row r="12" spans="1:32" x14ac:dyDescent="0.2">
      <c r="A12" s="36"/>
      <c r="B12" s="11">
        <f t="shared" si="0"/>
        <v>230</v>
      </c>
      <c r="C12" s="25"/>
      <c r="D12" s="25"/>
      <c r="E12" s="25"/>
      <c r="F12" s="25"/>
      <c r="G12" s="25"/>
      <c r="H12" s="25"/>
      <c r="I12" s="25"/>
      <c r="J12" s="25"/>
      <c r="K12" s="25"/>
      <c r="L12" s="25"/>
      <c r="M12" s="25"/>
      <c r="N12" s="25"/>
      <c r="O12" s="25"/>
      <c r="P12" s="25"/>
      <c r="Q12" s="25"/>
      <c r="R12" s="25"/>
      <c r="S12" s="25"/>
      <c r="T12" s="25"/>
      <c r="U12" s="25"/>
      <c r="V12" s="25"/>
      <c r="W12" s="25"/>
      <c r="X12" s="25"/>
      <c r="Y12" s="25"/>
      <c r="Z12" s="25"/>
      <c r="AA12" s="25"/>
      <c r="AB12" s="25"/>
      <c r="AC12" s="25"/>
      <c r="AD12" s="25"/>
      <c r="AE12" s="25"/>
      <c r="AF12" s="25"/>
    </row>
    <row r="13" spans="1:32" x14ac:dyDescent="0.2">
      <c r="A13" s="36"/>
      <c r="B13" s="11">
        <f t="shared" si="0"/>
        <v>220</v>
      </c>
      <c r="C13" s="25"/>
      <c r="D13" s="25"/>
      <c r="E13" s="25"/>
      <c r="F13" s="25"/>
      <c r="G13" s="25"/>
      <c r="H13" s="25"/>
      <c r="I13" s="25"/>
      <c r="J13" s="25"/>
      <c r="K13" s="25"/>
      <c r="L13" s="25"/>
      <c r="M13" s="25"/>
      <c r="N13" s="25"/>
      <c r="O13" s="25"/>
      <c r="P13" s="25"/>
      <c r="Q13" s="25"/>
      <c r="R13" s="25"/>
      <c r="S13" s="25"/>
      <c r="T13" s="25"/>
      <c r="U13" s="25"/>
      <c r="V13" s="25"/>
      <c r="W13" s="25"/>
      <c r="X13" s="25"/>
      <c r="Y13" s="25"/>
      <c r="Z13" s="25"/>
      <c r="AA13" s="25"/>
      <c r="AB13" s="25"/>
      <c r="AC13" s="25"/>
      <c r="AD13" s="25"/>
      <c r="AE13" s="25"/>
      <c r="AF13" s="25"/>
    </row>
    <row r="14" spans="1:32" x14ac:dyDescent="0.2">
      <c r="A14" s="36"/>
      <c r="B14" s="11">
        <f t="shared" si="0"/>
        <v>210</v>
      </c>
      <c r="C14" s="25"/>
      <c r="D14" s="25"/>
      <c r="E14" s="25"/>
      <c r="F14" s="25"/>
      <c r="G14" s="25"/>
      <c r="H14" s="25"/>
      <c r="I14" s="25"/>
      <c r="J14" s="25"/>
      <c r="K14" s="25"/>
      <c r="L14" s="25"/>
      <c r="M14" s="25"/>
      <c r="N14" s="25"/>
      <c r="O14" s="25"/>
      <c r="P14" s="25"/>
      <c r="Q14" s="25"/>
      <c r="R14" s="25"/>
      <c r="S14" s="25"/>
      <c r="T14" s="25"/>
      <c r="U14" s="25"/>
      <c r="V14" s="25"/>
      <c r="W14" s="25"/>
      <c r="X14" s="25"/>
      <c r="Y14" s="25"/>
      <c r="Z14" s="25"/>
      <c r="AA14" s="25"/>
      <c r="AB14" s="25"/>
      <c r="AC14" s="25"/>
      <c r="AD14" s="25"/>
      <c r="AE14" s="25"/>
      <c r="AF14" s="25"/>
    </row>
    <row r="15" spans="1:32" x14ac:dyDescent="0.2">
      <c r="A15" s="36"/>
      <c r="B15" s="11">
        <f t="shared" si="0"/>
        <v>200</v>
      </c>
      <c r="C15" s="25"/>
      <c r="D15" s="25"/>
      <c r="E15" s="25"/>
      <c r="F15" s="29"/>
      <c r="G15" s="29"/>
      <c r="H15" s="29"/>
      <c r="I15" s="29"/>
      <c r="J15" s="29"/>
      <c r="K15" s="29"/>
      <c r="L15" s="29"/>
      <c r="M15" s="29"/>
      <c r="N15" s="29"/>
      <c r="O15" s="29"/>
      <c r="P15" s="29"/>
      <c r="Q15" s="29"/>
      <c r="R15" s="29"/>
      <c r="S15" s="29"/>
      <c r="T15" s="29"/>
      <c r="U15" s="29"/>
      <c r="V15" s="29"/>
      <c r="W15" s="29"/>
      <c r="X15" s="29"/>
      <c r="Y15" s="29"/>
      <c r="Z15" s="25"/>
      <c r="AA15" s="25"/>
      <c r="AB15" s="25"/>
      <c r="AC15" s="25"/>
      <c r="AD15" s="25"/>
      <c r="AE15" s="25"/>
      <c r="AF15" s="25"/>
    </row>
    <row r="16" spans="1:32" x14ac:dyDescent="0.2">
      <c r="A16" s="36"/>
      <c r="B16" s="11">
        <f t="shared" si="0"/>
        <v>190</v>
      </c>
      <c r="C16" s="25"/>
      <c r="D16" s="25"/>
      <c r="E16" s="25"/>
      <c r="F16" s="29"/>
      <c r="G16" s="29"/>
      <c r="H16" s="29"/>
      <c r="I16" s="29"/>
      <c r="J16" s="29"/>
      <c r="K16" s="29"/>
      <c r="L16" s="29"/>
      <c r="M16" s="29"/>
      <c r="N16" s="29"/>
      <c r="O16" s="29"/>
      <c r="P16" s="29"/>
      <c r="Q16" s="29"/>
      <c r="R16" s="29"/>
      <c r="S16" s="29"/>
      <c r="T16" s="29"/>
      <c r="U16" s="29"/>
      <c r="V16" s="29"/>
      <c r="W16" s="29"/>
      <c r="X16" s="29"/>
      <c r="Y16" s="29"/>
      <c r="Z16" s="25"/>
      <c r="AA16" s="25"/>
      <c r="AB16" s="25"/>
      <c r="AC16" s="25"/>
      <c r="AD16" s="25"/>
      <c r="AE16" s="25"/>
      <c r="AF16" s="25"/>
    </row>
    <row r="17" spans="1:35" x14ac:dyDescent="0.2">
      <c r="A17" s="36"/>
      <c r="B17" s="11">
        <f t="shared" si="0"/>
        <v>180</v>
      </c>
      <c r="C17" s="25"/>
      <c r="D17" s="25"/>
      <c r="E17" s="25"/>
      <c r="F17" s="29"/>
      <c r="G17" s="29"/>
      <c r="H17" s="29"/>
      <c r="I17" s="29"/>
      <c r="J17" s="29"/>
      <c r="K17" s="29"/>
      <c r="L17" s="29"/>
      <c r="M17" s="29"/>
      <c r="N17" s="29"/>
      <c r="O17" s="29"/>
      <c r="P17" s="29"/>
      <c r="Q17" s="29"/>
      <c r="R17" s="29"/>
      <c r="S17" s="29"/>
      <c r="T17" s="29"/>
      <c r="U17" s="29"/>
      <c r="V17" s="29"/>
      <c r="W17" s="29"/>
      <c r="X17" s="29"/>
      <c r="Y17" s="29"/>
      <c r="Z17" s="29"/>
      <c r="AA17" s="29"/>
      <c r="AB17" s="29"/>
      <c r="AC17" s="29"/>
      <c r="AD17" s="25"/>
      <c r="AE17" s="25"/>
      <c r="AF17" s="25"/>
    </row>
    <row r="18" spans="1:35" x14ac:dyDescent="0.2">
      <c r="A18" s="36"/>
      <c r="B18" s="11">
        <f t="shared" si="0"/>
        <v>170</v>
      </c>
      <c r="C18" s="25"/>
      <c r="D18" s="25"/>
      <c r="E18" s="25"/>
      <c r="F18" s="29"/>
      <c r="G18" s="29"/>
      <c r="H18" s="29"/>
      <c r="I18" s="22">
        <f>H_1</f>
        <v>60</v>
      </c>
      <c r="J18" s="22">
        <f>H_1</f>
        <v>60</v>
      </c>
      <c r="K18" s="22">
        <f>H_1</f>
        <v>60</v>
      </c>
      <c r="L18" s="22">
        <f>H_1</f>
        <v>60</v>
      </c>
      <c r="M18" s="22">
        <f>H_1</f>
        <v>60</v>
      </c>
      <c r="N18" s="22">
        <f>H_1</f>
        <v>60</v>
      </c>
      <c r="O18" s="22">
        <f>H_1</f>
        <v>60</v>
      </c>
      <c r="P18" s="22">
        <f>H_1</f>
        <v>60</v>
      </c>
      <c r="Q18" s="22">
        <f>H_1</f>
        <v>60</v>
      </c>
      <c r="R18" s="22">
        <f>H_1</f>
        <v>60</v>
      </c>
      <c r="S18" s="22">
        <f>H_1</f>
        <v>60</v>
      </c>
      <c r="T18" s="22">
        <f>H_1</f>
        <v>60</v>
      </c>
      <c r="U18" s="22">
        <f>H_1</f>
        <v>60</v>
      </c>
      <c r="V18" s="29"/>
      <c r="W18" s="29"/>
      <c r="X18" s="29"/>
      <c r="Y18" s="29"/>
      <c r="Z18" s="29"/>
      <c r="AA18" s="29"/>
      <c r="AB18" s="29"/>
      <c r="AC18" s="29"/>
      <c r="AD18" s="25"/>
      <c r="AE18" s="25"/>
      <c r="AF18" s="25"/>
      <c r="AI18" s="15"/>
    </row>
    <row r="19" spans="1:35" x14ac:dyDescent="0.2">
      <c r="A19" s="36"/>
      <c r="B19" s="11">
        <f t="shared" si="0"/>
        <v>160</v>
      </c>
      <c r="C19" s="25"/>
      <c r="D19" s="25"/>
      <c r="E19" s="25"/>
      <c r="F19" s="29"/>
      <c r="G19" s="29"/>
      <c r="H19" s="29"/>
      <c r="I19" s="32">
        <f ca="1">(0.5*I18 + 0.5*I20 + J19)/2</f>
        <v>59.578193275734087</v>
      </c>
      <c r="J19" s="32">
        <f ca="1">(J18 + J20 + I19 + K19)/4</f>
        <v>59.563501812768216</v>
      </c>
      <c r="K19" s="32">
        <f ca="1">(K18 + K20 + J19 + L19)/4</f>
        <v>59.518237436994312</v>
      </c>
      <c r="L19" s="32">
        <f ca="1">(L18 + L20 + K19 + M19)/4</f>
        <v>59.438637761480379</v>
      </c>
      <c r="M19" s="32">
        <f ca="1">(M18 + M20 + L19 + N19)/4</f>
        <v>59.317706435744917</v>
      </c>
      <c r="N19" s="32">
        <f ca="1">(N18 + N20 + M19 + O19)/4</f>
        <v>59.14379421542916</v>
      </c>
      <c r="O19" s="32">
        <f ca="1">(O18 + O20 + N19 + P19)/4</f>
        <v>58.897761181365681</v>
      </c>
      <c r="P19" s="32">
        <f ca="1">(P18 + P20 + O19 + Q19)/4</f>
        <v>58.547349356460913</v>
      </c>
      <c r="Q19" s="32">
        <f ca="1">(Q18 + Q20 + P19 + R19)/4</f>
        <v>58.036200878210316</v>
      </c>
      <c r="R19" s="32">
        <f ca="1">(R18 + R20 + Q19 + S19)/4</f>
        <v>57.264134476888415</v>
      </c>
      <c r="S19" s="32">
        <f ca="1">(S18 + S20 + R19 + T19)/4</f>
        <v>56.062800958485717</v>
      </c>
      <c r="T19" s="32">
        <f ca="1">(T18 + T20 + S19 + U19)/4</f>
        <v>54.235398273440239</v>
      </c>
      <c r="U19" s="32">
        <f ca="1">(0.5*U18 + 0.5*U20 + T19)/2</f>
        <v>52.11769913672012</v>
      </c>
      <c r="V19" s="29"/>
      <c r="W19" s="29"/>
      <c r="X19" s="29"/>
      <c r="Y19" s="29"/>
      <c r="Z19" s="29"/>
      <c r="AA19" s="29"/>
      <c r="AB19" s="29"/>
      <c r="AC19" s="29"/>
      <c r="AD19" s="25"/>
      <c r="AE19" s="25"/>
      <c r="AF19" s="25"/>
    </row>
    <row r="20" spans="1:35" x14ac:dyDescent="0.2">
      <c r="A20" s="36"/>
      <c r="B20" s="11">
        <f t="shared" si="0"/>
        <v>150</v>
      </c>
      <c r="C20" s="25"/>
      <c r="D20" s="25"/>
      <c r="E20" s="25"/>
      <c r="F20" s="29"/>
      <c r="G20" s="29"/>
      <c r="H20" s="29"/>
      <c r="I20" s="32">
        <f ca="1">(0.5*I19 + 0.5*I21 + J20)/2</f>
        <v>59.185770718862301</v>
      </c>
      <c r="J20" s="32">
        <f ca="1">(J19 + J21 + I20 + K20)/4</f>
        <v>59.157577438139249</v>
      </c>
      <c r="K20" s="32">
        <f ca="1">(K19 + K21 + J20 + L20)/4</f>
        <v>59.070811037648532</v>
      </c>
      <c r="L20" s="32">
        <f ca="1">(L19 + L21 + K20 + M20)/4</f>
        <v>58.918607992837451</v>
      </c>
      <c r="M20" s="32">
        <f ca="1">(M19 + M21 + L20 + N20)/4</f>
        <v>58.688394533766726</v>
      </c>
      <c r="N20" s="32">
        <f ca="1">(N19 + N21 + M20 + O20)/4</f>
        <v>58.359709953276123</v>
      </c>
      <c r="O20" s="32">
        <f ca="1">(O19 + O21 + N20 + P20)/4</f>
        <v>57.899901796575186</v>
      </c>
      <c r="P20" s="32">
        <f ca="1">(P19 + P21 + O20 + Q20)/4</f>
        <v>57.255435936947976</v>
      </c>
      <c r="Q20" s="32">
        <f ca="1">(Q19 + Q21 + P20 + R20)/4</f>
        <v>56.333320170303224</v>
      </c>
      <c r="R20" s="32">
        <f ca="1">(R19 + R21 + Q20 + S20)/4</f>
        <v>54.957536471801816</v>
      </c>
      <c r="S20" s="32">
        <f ca="1">(S19 + S21 + R20 + T20)/4</f>
        <v>52.751671380300877</v>
      </c>
      <c r="T20" s="32">
        <f ca="1">(T19 + T21 + S20 + U20)/4</f>
        <v>48.761093174427366</v>
      </c>
      <c r="U20" s="21">
        <f>H_2</f>
        <v>40</v>
      </c>
      <c r="V20" s="21">
        <f>H_2</f>
        <v>40</v>
      </c>
      <c r="W20" s="21">
        <f>H_2</f>
        <v>40</v>
      </c>
      <c r="X20" s="21">
        <f>H_2</f>
        <v>40</v>
      </c>
      <c r="Y20" s="29"/>
      <c r="Z20" s="29"/>
      <c r="AA20" s="29"/>
      <c r="AB20" s="29"/>
      <c r="AC20" s="29"/>
      <c r="AD20" s="25"/>
      <c r="AE20" s="25"/>
      <c r="AF20" s="25"/>
    </row>
    <row r="21" spans="1:35" x14ac:dyDescent="0.2">
      <c r="A21" s="36"/>
      <c r="B21" s="11">
        <f t="shared" si="0"/>
        <v>140</v>
      </c>
      <c r="C21" s="25"/>
      <c r="D21" s="25"/>
      <c r="E21" s="25"/>
      <c r="F21" s="29"/>
      <c r="G21" s="29"/>
      <c r="H21" s="29"/>
      <c r="I21" s="32">
        <f ca="1">(0.5*I20 + 0.5*I22 + J21)/2</f>
        <v>58.849736764011325</v>
      </c>
      <c r="J21" s="32">
        <f ca="1">(J20 + J22 + I21 + K21)/4</f>
        <v>58.810227584686828</v>
      </c>
      <c r="K21" s="32">
        <f ca="1">(K20 + K22 + J21 + L21)/4</f>
        <v>58.68882262708447</v>
      </c>
      <c r="L21" s="32">
        <f ca="1">(L20 + L22 + K21 + M21)/4</f>
        <v>58.476589913019936</v>
      </c>
      <c r="M21" s="32">
        <f ca="1">(M20 + M22 + L21 + N21)/4</f>
        <v>58.157554946079642</v>
      </c>
      <c r="N21" s="32">
        <f ca="1">(N20 + N22 + M21 + O21)/4</f>
        <v>57.706750367806954</v>
      </c>
      <c r="O21" s="32">
        <f ca="1">(O20 + O22 + N21 + P21)/4</f>
        <v>57.0867011129763</v>
      </c>
      <c r="P21" s="32">
        <f ca="1">(P20 + P22 + O21 + Q21)/4</f>
        <v>56.24117331109229</v>
      </c>
      <c r="Q21" s="32">
        <f ca="1">(Q20 + Q22 + P21 + R21)/4</f>
        <v>55.084108159098761</v>
      </c>
      <c r="R21" s="32">
        <f ca="1">(R20 + R22 + Q21 + S21)/4</f>
        <v>53.481020489093893</v>
      </c>
      <c r="S21" s="32">
        <f ca="1">(S20 + S22 + R21 + T21)/4</f>
        <v>51.22525538563314</v>
      </c>
      <c r="T21" s="32">
        <f ca="1">(T20 + T22 + S21 + U21)/4</f>
        <v>48.057303291897156</v>
      </c>
      <c r="U21" s="32">
        <f ca="1">(U20 + U22 + T21 + V21)/4</f>
        <v>44.066385316446123</v>
      </c>
      <c r="V21" s="32">
        <f ca="1">(V20 + V22 + U21 + W21)/4</f>
        <v>42.515513729520094</v>
      </c>
      <c r="W21" s="32">
        <f ca="1">(W20 + W22 + V21 + X21)/4</f>
        <v>41.876120781251416</v>
      </c>
      <c r="X21" s="32">
        <f ca="1">(0.5*X20 + 0.5*X22 + W21)/2</f>
        <v>41.696981255241596</v>
      </c>
      <c r="Y21" s="29"/>
      <c r="Z21" s="29"/>
      <c r="AA21" s="29"/>
      <c r="AB21" s="29"/>
      <c r="AC21" s="29"/>
      <c r="AD21" s="25"/>
      <c r="AE21" s="25"/>
      <c r="AF21" s="25"/>
    </row>
    <row r="22" spans="1:35" x14ac:dyDescent="0.2">
      <c r="A22" s="36"/>
      <c r="B22" s="11">
        <f t="shared" si="0"/>
        <v>130</v>
      </c>
      <c r="C22" s="25"/>
      <c r="D22" s="25"/>
      <c r="E22" s="25"/>
      <c r="F22" s="29"/>
      <c r="G22" s="29"/>
      <c r="H22" s="29"/>
      <c r="I22" s="32">
        <f ca="1">(0.5*I21 + 0.5*I23 + J22)/2</f>
        <v>58.592723839162403</v>
      </c>
      <c r="J22" s="32">
        <f ca="1">(J21 + J23 + I22 + K22)/4</f>
        <v>58.544775298798626</v>
      </c>
      <c r="K22" s="32">
        <f ca="1">(K21 + K23 + J22 + L22)/4</f>
        <v>58.397663688968443</v>
      </c>
      <c r="L22" s="32">
        <f ca="1">(L21 + L23 + K22 + M22)/4</f>
        <v>58.141375712377901</v>
      </c>
      <c r="M22" s="32">
        <f ca="1">(M21 + M23 + L22 + N22)/4</f>
        <v>57.758486491528281</v>
      </c>
      <c r="N22" s="32">
        <f ca="1">(N21 + N23 + M22 + O22)/4</f>
        <v>57.223036863006072</v>
      </c>
      <c r="O22" s="32">
        <f ca="1">(O21 + O23 + N22 + P22)/4</f>
        <v>56.498980251225554</v>
      </c>
      <c r="P22" s="32">
        <f ca="1">(P21 + P23 + O22 + Q22)/4</f>
        <v>55.538449170619828</v>
      </c>
      <c r="Q22" s="32">
        <f ca="1">(Q21 + Q23 + P22 + R22)/4</f>
        <v>54.280919652552129</v>
      </c>
      <c r="R22" s="32">
        <f ca="1">(R21 + R23 + Q22 + S22)/4</f>
        <v>52.6571827694559</v>
      </c>
      <c r="S22" s="32">
        <f ca="1">(S21 + S23 + R22 + T22)/4</f>
        <v>50.611027046578016</v>
      </c>
      <c r="T22" s="32">
        <f ca="1">(T21 + T23 + S22 + U22)/4</f>
        <v>48.176479793175517</v>
      </c>
      <c r="U22" s="32">
        <f ca="1">(U21 + U23 + T22 + V22)/4</f>
        <v>45.692724638180309</v>
      </c>
      <c r="V22" s="32">
        <f ca="1">(V21 + V23 + U22 + W22)/4</f>
        <v>44.119549149024451</v>
      </c>
      <c r="W22" s="32">
        <f ca="1">(W21 + W23 + V22 + X22)/4</f>
        <v>43.291988435046392</v>
      </c>
      <c r="X22" s="32">
        <f ca="1">(0.5*X21 + 0.5*X23 + W22)/2</f>
        <v>43.035683640711682</v>
      </c>
      <c r="Y22" s="29"/>
      <c r="Z22" s="29"/>
      <c r="AA22" s="29"/>
      <c r="AB22" s="29"/>
      <c r="AC22" s="29"/>
      <c r="AD22" s="25"/>
      <c r="AE22" s="25"/>
      <c r="AF22" s="25"/>
    </row>
    <row r="23" spans="1:35" x14ac:dyDescent="0.2">
      <c r="A23" s="36"/>
      <c r="B23" s="11">
        <f t="shared" si="0"/>
        <v>120</v>
      </c>
      <c r="C23" s="25"/>
      <c r="D23" s="25"/>
      <c r="E23" s="25"/>
      <c r="F23" s="29"/>
      <c r="G23" s="29"/>
      <c r="H23" s="29"/>
      <c r="I23" s="32">
        <f ca="1">(0.5*I22 + 0.5*I24 + J23)/2</f>
        <v>58.431611093010929</v>
      </c>
      <c r="J23" s="32">
        <f ca="1">(J22 + J24 + I23 + K23)/4</f>
        <v>58.378488124156618</v>
      </c>
      <c r="K23" s="32">
        <f ca="1">(K22 + K24 + J23 + L23)/4</f>
        <v>58.215683075339726</v>
      </c>
      <c r="L23" s="32">
        <f ca="1">(L22 + L24 + K23 + M23)/4</f>
        <v>57.932764611116191</v>
      </c>
      <c r="M23" s="32">
        <f ca="1">(M22 + M24 + L23 + N23)/4</f>
        <v>57.511980180522237</v>
      </c>
      <c r="N23" s="32">
        <f ca="1">(N22 + N24 + M23 + O23)/4</f>
        <v>56.927931943505612</v>
      </c>
      <c r="O23" s="32">
        <f ca="1">(O22 + O24 + N23 + P23)/4</f>
        <v>56.147735314154559</v>
      </c>
      <c r="P23" s="32">
        <f ca="1">(P22 + P24 + O23 + Q23)/4</f>
        <v>55.132724767375336</v>
      </c>
      <c r="Q23" s="32">
        <f ca="1">(Q22 + Q24 + P23 + R23)/4</f>
        <v>53.843939647694654</v>
      </c>
      <c r="R23" s="32">
        <f ca="1">(R22 + R24 + Q23 + S23)/4</f>
        <v>52.255764859982378</v>
      </c>
      <c r="S23" s="32">
        <f ca="1">(S22 + S24 + R23 + T23)/4</f>
        <v>50.385191045151231</v>
      </c>
      <c r="T23" s="32">
        <f ca="1">(T22 + T24 + S23 + U23)/4</f>
        <v>48.344864854429176</v>
      </c>
      <c r="U23" s="32">
        <f ca="1">(U22 + U24 + T23 + V23)/4</f>
        <v>46.408484838533425</v>
      </c>
      <c r="V23" s="32">
        <f ca="1">(V22 + V24 + U23 + W23)/4</f>
        <v>44.977970261559761</v>
      </c>
      <c r="W23" s="32">
        <f ca="1">(W22 + W24 + V23 + X23)/4</f>
        <v>44.136600595955933</v>
      </c>
      <c r="X23" s="32">
        <f ca="1">(0.5*X22 + 0.5*X24 + W23)/2</f>
        <v>43.861776669058088</v>
      </c>
      <c r="Y23" s="29"/>
      <c r="Z23" s="29"/>
      <c r="AA23" s="29"/>
      <c r="AB23" s="29"/>
      <c r="AC23" s="29"/>
      <c r="AD23" s="25"/>
      <c r="AE23" s="25"/>
      <c r="AF23" s="25"/>
    </row>
    <row r="24" spans="1:35" x14ac:dyDescent="0.2">
      <c r="A24" s="36"/>
      <c r="B24" s="11">
        <f t="shared" si="0"/>
        <v>110</v>
      </c>
      <c r="C24" s="25"/>
      <c r="D24" s="25"/>
      <c r="E24" s="25"/>
      <c r="F24" s="29"/>
      <c r="G24" s="29"/>
      <c r="H24" s="29"/>
      <c r="I24" s="32">
        <f ca="1">(0.5*I23 + 0.5*J24)</f>
        <v>58.376747584261864</v>
      </c>
      <c r="J24" s="32">
        <f ca="1">(J23 + 0.5*I24 + 0.5*K24)/2</f>
        <v>58.321885176643029</v>
      </c>
      <c r="K24" s="32">
        <f ca="1">(K23 + 0.5*J24 + 0.5*L24)/2</f>
        <v>58.153817935531137</v>
      </c>
      <c r="L24" s="32">
        <f ca="1">(L23 + 0.5*K24 + 0.5*M24)/2</f>
        <v>57.862021426477398</v>
      </c>
      <c r="M24" s="32">
        <f ca="1">(M23 + 0.5*L24 + 0.5*N24)/2</f>
        <v>57.428739500705881</v>
      </c>
      <c r="N24" s="32">
        <f ca="1">(N23 + 0.5*M24 + 0.5*O24)/2</f>
        <v>56.828977100605499</v>
      </c>
      <c r="O24" s="32">
        <f ca="1">(O23 + 0.5*N24 + 0.5*P24)/2</f>
        <v>56.031305825864088</v>
      </c>
      <c r="P24" s="32">
        <f ca="1">(P23 + 0.5*O24 + 0.5*Q24)/2</f>
        <v>55.000776306114432</v>
      </c>
      <c r="Q24" s="32">
        <f ca="1">(Q23 + 0.5*P24 + 0.5*R24)/2</f>
        <v>53.706350512148106</v>
      </c>
      <c r="R24" s="32">
        <f ca="1">(R23 + 0.5*Q24 + 0.5*S24)/2</f>
        <v>52.13674701073041</v>
      </c>
      <c r="S24" s="32">
        <f ca="1">(S23 + 0.5*R24 + 0.5*T24)/2</f>
        <v>50.329108291517116</v>
      </c>
      <c r="T24" s="32">
        <f ca="1">(T23 + 0.5*S24 + 0.5*U24)/2</f>
        <v>48.409304468836908</v>
      </c>
      <c r="U24" s="32">
        <f ca="1">(U23 + 0.5*T24 + 0.5*V24)/2</f>
        <v>46.618380213284695</v>
      </c>
      <c r="V24" s="32">
        <f ca="1">(V23 + 0.5*U24 + 0.5*W24)/2</f>
        <v>45.247246996527359</v>
      </c>
      <c r="W24" s="32">
        <f ca="1">(W23 + 0.5*V24 + 0.5*X24)/2</f>
        <v>44.414667508012002</v>
      </c>
      <c r="X24" s="32">
        <f ca="1">(0.5*X23 + 0.5*W24)</f>
        <v>44.138222088535045</v>
      </c>
      <c r="Y24" s="29"/>
      <c r="Z24" s="29"/>
      <c r="AA24" s="29"/>
      <c r="AB24" s="29"/>
      <c r="AC24" s="29"/>
      <c r="AD24" s="25"/>
      <c r="AE24" s="25"/>
      <c r="AF24" s="25"/>
    </row>
    <row r="25" spans="1:35" x14ac:dyDescent="0.2">
      <c r="A25" s="36"/>
      <c r="B25" s="11">
        <f t="shared" si="0"/>
        <v>100</v>
      </c>
      <c r="C25" s="25"/>
      <c r="D25" s="25"/>
      <c r="E25" s="25"/>
      <c r="F25" s="29"/>
      <c r="G25" s="29"/>
      <c r="H25" s="29"/>
      <c r="I25" s="29"/>
      <c r="J25" s="29"/>
      <c r="K25" s="29"/>
      <c r="L25" s="29"/>
      <c r="M25" s="29"/>
      <c r="N25" s="29"/>
      <c r="O25" s="29"/>
      <c r="P25" s="29"/>
      <c r="Q25" s="29"/>
      <c r="R25" s="29"/>
      <c r="S25" s="29"/>
      <c r="T25" s="29"/>
      <c r="U25" s="29"/>
      <c r="V25" s="29"/>
      <c r="W25" s="29"/>
      <c r="X25" s="29"/>
      <c r="Y25" s="29"/>
      <c r="Z25" s="29"/>
      <c r="AA25" s="29"/>
      <c r="AB25" s="29"/>
      <c r="AC25" s="29"/>
      <c r="AD25" s="25"/>
      <c r="AE25" s="25"/>
      <c r="AF25" s="25"/>
    </row>
    <row r="26" spans="1:35" x14ac:dyDescent="0.2">
      <c r="A26" s="36"/>
      <c r="B26" s="11">
        <f t="shared" si="0"/>
        <v>90</v>
      </c>
      <c r="C26" s="25"/>
      <c r="D26" s="25"/>
      <c r="E26" s="25"/>
      <c r="F26" s="29"/>
      <c r="G26" s="29"/>
      <c r="H26" s="29"/>
      <c r="I26" s="29"/>
      <c r="J26" s="29"/>
      <c r="K26" s="29"/>
      <c r="L26" s="29"/>
      <c r="M26" s="29"/>
      <c r="N26" s="29"/>
      <c r="O26" s="29"/>
      <c r="P26" s="29"/>
      <c r="Q26" s="29"/>
      <c r="R26" s="29"/>
      <c r="S26" s="29"/>
      <c r="T26" s="29"/>
      <c r="U26" s="29"/>
      <c r="V26" s="29"/>
      <c r="W26" s="29"/>
      <c r="X26" s="29"/>
      <c r="Y26" s="29"/>
      <c r="Z26" s="29"/>
      <c r="AA26" s="29"/>
      <c r="AB26" s="29"/>
      <c r="AC26" s="29"/>
      <c r="AD26" s="25"/>
      <c r="AE26" s="25"/>
      <c r="AF26" s="25"/>
    </row>
    <row r="27" spans="1:35" x14ac:dyDescent="0.2">
      <c r="A27" s="36"/>
      <c r="B27" s="11">
        <f t="shared" si="0"/>
        <v>80</v>
      </c>
      <c r="C27" s="25"/>
      <c r="D27" s="25"/>
      <c r="E27" s="25"/>
      <c r="F27" s="29"/>
      <c r="G27" s="29"/>
      <c r="H27" s="29"/>
      <c r="I27" s="29"/>
      <c r="J27" s="29"/>
      <c r="K27" s="29"/>
      <c r="L27" s="29"/>
      <c r="M27" s="29"/>
      <c r="N27" s="29"/>
      <c r="O27" s="29"/>
      <c r="P27" s="29"/>
      <c r="Q27" s="29"/>
      <c r="R27" s="29"/>
      <c r="S27" s="29"/>
      <c r="T27" s="29"/>
      <c r="U27" s="29"/>
      <c r="V27" s="29"/>
      <c r="W27" s="29"/>
      <c r="X27" s="29"/>
      <c r="Y27" s="29"/>
      <c r="Z27" s="29"/>
      <c r="AA27" s="29"/>
      <c r="AB27" s="29"/>
      <c r="AC27" s="29"/>
      <c r="AD27" s="25"/>
      <c r="AE27" s="25"/>
      <c r="AF27" s="25"/>
    </row>
    <row r="28" spans="1:35" x14ac:dyDescent="0.2">
      <c r="A28" s="36"/>
      <c r="B28" s="11">
        <f t="shared" si="0"/>
        <v>70</v>
      </c>
      <c r="C28" s="25"/>
      <c r="D28" s="25"/>
      <c r="E28" s="25"/>
      <c r="F28" s="25"/>
      <c r="G28" s="29"/>
      <c r="H28" s="29"/>
      <c r="I28" s="29"/>
      <c r="J28" s="29"/>
      <c r="K28" s="29"/>
      <c r="L28" s="29"/>
      <c r="M28" s="29"/>
      <c r="N28" s="29"/>
      <c r="O28" s="29"/>
      <c r="P28" s="29"/>
      <c r="Q28" s="29"/>
      <c r="R28" s="29"/>
      <c r="S28" s="29"/>
      <c r="T28" s="29"/>
      <c r="U28" s="29"/>
      <c r="V28" s="29"/>
      <c r="W28" s="29"/>
      <c r="X28" s="29"/>
      <c r="Y28" s="29"/>
      <c r="Z28" s="29"/>
      <c r="AA28" s="29"/>
      <c r="AB28" s="29"/>
      <c r="AC28" s="29"/>
      <c r="AD28" s="25"/>
      <c r="AE28" s="25"/>
      <c r="AF28" s="25"/>
    </row>
    <row r="29" spans="1:35" x14ac:dyDescent="0.2">
      <c r="A29" s="36"/>
      <c r="B29" s="11">
        <f t="shared" si="0"/>
        <v>60</v>
      </c>
      <c r="C29" s="25"/>
      <c r="D29" s="25"/>
      <c r="E29" s="25"/>
      <c r="F29" s="25"/>
      <c r="G29" s="29"/>
      <c r="H29" s="29"/>
      <c r="I29" s="29"/>
      <c r="J29" s="29"/>
      <c r="K29" s="29"/>
      <c r="L29" s="29"/>
      <c r="M29" s="29"/>
      <c r="N29" s="29"/>
      <c r="O29" s="29"/>
      <c r="P29" s="29"/>
      <c r="Q29" s="29"/>
      <c r="R29" s="29"/>
      <c r="S29" s="29"/>
      <c r="T29" s="29"/>
      <c r="U29" s="29"/>
      <c r="V29" s="29"/>
      <c r="W29" s="29"/>
      <c r="X29" s="29"/>
      <c r="Y29" s="29"/>
      <c r="Z29" s="29"/>
      <c r="AA29" s="29"/>
      <c r="AB29" s="29"/>
      <c r="AC29" s="29"/>
      <c r="AD29" s="25"/>
      <c r="AE29" s="25"/>
      <c r="AF29" s="25"/>
    </row>
    <row r="30" spans="1:35" x14ac:dyDescent="0.2">
      <c r="A30" s="36"/>
      <c r="B30" s="11">
        <f t="shared" si="0"/>
        <v>50</v>
      </c>
      <c r="C30" s="25"/>
      <c r="D30" s="25"/>
      <c r="E30" s="25"/>
      <c r="F30" s="25"/>
      <c r="G30" s="29"/>
      <c r="H30" s="29"/>
      <c r="I30" s="29"/>
      <c r="J30" s="29"/>
      <c r="K30" s="29"/>
      <c r="L30" s="29"/>
      <c r="M30" s="29"/>
      <c r="N30" s="29"/>
      <c r="O30" s="29"/>
      <c r="P30" s="29"/>
      <c r="Q30" s="29"/>
      <c r="R30" s="29"/>
      <c r="S30" s="29"/>
      <c r="T30" s="29"/>
      <c r="U30" s="29"/>
      <c r="V30" s="29"/>
      <c r="W30" s="29"/>
      <c r="X30" s="29"/>
      <c r="Y30" s="29"/>
      <c r="Z30" s="29"/>
      <c r="AA30" s="29"/>
      <c r="AB30" s="29"/>
      <c r="AC30" s="29"/>
      <c r="AD30" s="25"/>
      <c r="AE30" s="25"/>
      <c r="AF30" s="25"/>
    </row>
    <row r="31" spans="1:35" x14ac:dyDescent="0.2">
      <c r="A31" s="36"/>
      <c r="B31" s="11">
        <f t="shared" si="0"/>
        <v>40</v>
      </c>
      <c r="C31" s="25"/>
      <c r="D31" s="25"/>
      <c r="E31" s="25"/>
      <c r="F31" s="25"/>
      <c r="G31" s="25"/>
      <c r="H31" s="25"/>
      <c r="I31" s="25"/>
      <c r="J31" s="25"/>
      <c r="K31" s="25"/>
      <c r="L31" s="25"/>
      <c r="M31" s="25"/>
      <c r="N31" s="25"/>
      <c r="O31" s="25"/>
      <c r="P31" s="25"/>
      <c r="Q31" s="25"/>
      <c r="R31" s="25"/>
      <c r="S31" s="25"/>
      <c r="T31" s="25"/>
      <c r="U31" s="25"/>
      <c r="V31" s="25"/>
      <c r="W31" s="25"/>
      <c r="X31" s="25"/>
      <c r="Y31" s="25"/>
      <c r="Z31" s="25"/>
      <c r="AA31" s="25"/>
      <c r="AB31" s="25"/>
      <c r="AC31" s="25"/>
      <c r="AD31" s="25"/>
      <c r="AE31" s="25"/>
      <c r="AF31" s="25"/>
    </row>
    <row r="32" spans="1:35" x14ac:dyDescent="0.2">
      <c r="A32" s="36"/>
      <c r="B32" s="11">
        <f t="shared" si="0"/>
        <v>30</v>
      </c>
      <c r="C32" s="25"/>
      <c r="D32" s="25"/>
      <c r="E32" s="25"/>
      <c r="F32" s="25"/>
      <c r="G32" s="25"/>
      <c r="H32" s="25"/>
      <c r="I32" s="25"/>
      <c r="J32" s="25"/>
      <c r="K32" s="25"/>
      <c r="L32" s="25"/>
      <c r="M32" s="25"/>
      <c r="N32" s="25"/>
      <c r="O32" s="25"/>
      <c r="P32" s="25"/>
      <c r="Q32" s="25"/>
      <c r="R32" s="25"/>
      <c r="S32" s="25"/>
      <c r="T32" s="25"/>
      <c r="U32" s="25"/>
      <c r="V32" s="25"/>
      <c r="W32" s="25"/>
      <c r="X32" s="25"/>
      <c r="Y32" s="25"/>
      <c r="Z32" s="25"/>
      <c r="AA32" s="25"/>
      <c r="AB32" s="25"/>
      <c r="AC32" s="25"/>
      <c r="AD32" s="25"/>
      <c r="AE32" s="25"/>
      <c r="AF32" s="25"/>
    </row>
    <row r="33" spans="1:32" x14ac:dyDescent="0.2">
      <c r="A33" s="36"/>
      <c r="B33" s="11">
        <f t="shared" si="0"/>
        <v>20</v>
      </c>
      <c r="C33" s="25"/>
      <c r="D33" s="25"/>
      <c r="E33" s="25"/>
      <c r="F33" s="25"/>
      <c r="G33" s="25"/>
      <c r="H33" s="25"/>
      <c r="I33" s="25"/>
      <c r="J33" s="25"/>
      <c r="K33" s="25"/>
      <c r="L33" s="25"/>
      <c r="M33" s="25"/>
      <c r="N33" s="25"/>
      <c r="O33" s="25"/>
      <c r="P33" s="25"/>
      <c r="Q33" s="25"/>
      <c r="R33" s="25"/>
      <c r="S33" s="25"/>
      <c r="T33" s="25"/>
      <c r="U33" s="25"/>
      <c r="V33" s="25"/>
      <c r="W33" s="25"/>
      <c r="X33" s="25"/>
      <c r="Y33" s="25"/>
      <c r="Z33" s="25"/>
      <c r="AA33" s="25"/>
      <c r="AB33" s="25"/>
      <c r="AC33" s="25"/>
      <c r="AD33" s="25"/>
      <c r="AE33" s="25"/>
      <c r="AF33" s="25"/>
    </row>
    <row r="34" spans="1:32" x14ac:dyDescent="0.2">
      <c r="A34" s="36"/>
      <c r="B34" s="11">
        <f t="shared" si="0"/>
        <v>10</v>
      </c>
      <c r="C34" s="25"/>
      <c r="D34" s="25"/>
      <c r="E34" s="25"/>
      <c r="F34" s="25"/>
      <c r="G34" s="25"/>
      <c r="H34" s="25"/>
      <c r="I34" s="25"/>
      <c r="J34" s="25"/>
      <c r="K34" s="25"/>
      <c r="L34" s="25"/>
      <c r="M34" s="25"/>
      <c r="N34" s="25"/>
      <c r="O34" s="25"/>
      <c r="P34" s="25"/>
      <c r="Q34" s="25"/>
      <c r="R34" s="25"/>
      <c r="S34" s="25"/>
      <c r="T34" s="25"/>
      <c r="U34" s="25"/>
      <c r="V34" s="25"/>
      <c r="W34" s="25"/>
      <c r="X34" s="25"/>
      <c r="Y34" s="25"/>
      <c r="Z34" s="25"/>
      <c r="AA34" s="25"/>
      <c r="AB34" s="25"/>
      <c r="AC34" s="25"/>
      <c r="AD34" s="25"/>
      <c r="AE34" s="25"/>
      <c r="AF34" s="25"/>
    </row>
    <row r="35" spans="1:32" x14ac:dyDescent="0.2">
      <c r="A35" s="37"/>
      <c r="B35" s="12">
        <v>0</v>
      </c>
      <c r="C35" s="25"/>
      <c r="D35" s="25"/>
      <c r="E35" s="25"/>
      <c r="F35" s="25"/>
      <c r="G35" s="25"/>
      <c r="H35" s="25"/>
      <c r="I35" s="25"/>
      <c r="J35" s="25"/>
      <c r="K35" s="25"/>
      <c r="L35" s="25"/>
      <c r="M35" s="25"/>
      <c r="N35" s="25"/>
      <c r="O35" s="25"/>
      <c r="P35" s="25"/>
      <c r="Q35" s="25"/>
      <c r="R35" s="25"/>
      <c r="S35" s="25"/>
      <c r="T35" s="25"/>
      <c r="U35" s="25"/>
      <c r="V35" s="25"/>
      <c r="W35" s="25"/>
      <c r="X35" s="25"/>
      <c r="Y35" s="25"/>
      <c r="Z35" s="25"/>
      <c r="AA35" s="25"/>
      <c r="AB35" s="25"/>
      <c r="AC35" s="25"/>
      <c r="AD35" s="25"/>
      <c r="AE35" s="25"/>
      <c r="AF35" s="25"/>
    </row>
    <row r="36" spans="1:32" x14ac:dyDescent="0.2">
      <c r="C36" s="6">
        <v>0</v>
      </c>
      <c r="D36" s="5">
        <f t="shared" ref="D36:AF36" si="1">C36+cellsize</f>
        <v>10</v>
      </c>
      <c r="E36" s="5">
        <f t="shared" si="1"/>
        <v>20</v>
      </c>
      <c r="F36" s="5">
        <f t="shared" si="1"/>
        <v>30</v>
      </c>
      <c r="G36" s="5">
        <f t="shared" si="1"/>
        <v>40</v>
      </c>
      <c r="H36" s="5">
        <f t="shared" si="1"/>
        <v>50</v>
      </c>
      <c r="I36" s="5">
        <f t="shared" si="1"/>
        <v>60</v>
      </c>
      <c r="J36" s="5">
        <f t="shared" si="1"/>
        <v>70</v>
      </c>
      <c r="K36" s="5">
        <f t="shared" si="1"/>
        <v>80</v>
      </c>
      <c r="L36" s="5">
        <f t="shared" si="1"/>
        <v>90</v>
      </c>
      <c r="M36" s="5">
        <f t="shared" si="1"/>
        <v>100</v>
      </c>
      <c r="N36" s="5">
        <f t="shared" si="1"/>
        <v>110</v>
      </c>
      <c r="O36" s="5">
        <f t="shared" si="1"/>
        <v>120</v>
      </c>
      <c r="P36" s="5">
        <f t="shared" si="1"/>
        <v>130</v>
      </c>
      <c r="Q36" s="5">
        <f t="shared" si="1"/>
        <v>140</v>
      </c>
      <c r="R36" s="5">
        <f t="shared" si="1"/>
        <v>150</v>
      </c>
      <c r="S36" s="5">
        <f t="shared" si="1"/>
        <v>160</v>
      </c>
      <c r="T36" s="5">
        <f t="shared" si="1"/>
        <v>170</v>
      </c>
      <c r="U36" s="5">
        <f t="shared" si="1"/>
        <v>180</v>
      </c>
      <c r="V36" s="5">
        <f t="shared" si="1"/>
        <v>190</v>
      </c>
      <c r="W36" s="5">
        <f t="shared" si="1"/>
        <v>200</v>
      </c>
      <c r="X36" s="5">
        <f t="shared" si="1"/>
        <v>210</v>
      </c>
      <c r="Y36" s="5">
        <f t="shared" si="1"/>
        <v>220</v>
      </c>
      <c r="Z36" s="5">
        <f t="shared" si="1"/>
        <v>230</v>
      </c>
      <c r="AA36" s="5">
        <f t="shared" si="1"/>
        <v>240</v>
      </c>
      <c r="AB36" s="5">
        <f t="shared" si="1"/>
        <v>250</v>
      </c>
      <c r="AC36" s="5">
        <f t="shared" si="1"/>
        <v>260</v>
      </c>
      <c r="AD36" s="5">
        <f t="shared" si="1"/>
        <v>270</v>
      </c>
      <c r="AE36" s="5">
        <f t="shared" si="1"/>
        <v>280</v>
      </c>
      <c r="AF36" s="13">
        <f t="shared" si="1"/>
        <v>290</v>
      </c>
    </row>
    <row r="37" spans="1:32" ht="26.25" x14ac:dyDescent="0.4">
      <c r="C37" s="38" t="s">
        <v>13</v>
      </c>
      <c r="D37" s="39"/>
      <c r="E37" s="39"/>
      <c r="F37" s="39"/>
      <c r="G37" s="39"/>
      <c r="H37" s="39"/>
      <c r="I37" s="39"/>
      <c r="J37" s="39"/>
      <c r="K37" s="39"/>
      <c r="L37" s="39"/>
      <c r="M37" s="39"/>
      <c r="N37" s="39"/>
      <c r="O37" s="39"/>
      <c r="P37" s="39"/>
      <c r="Q37" s="39"/>
      <c r="R37" s="39"/>
      <c r="S37" s="39"/>
      <c r="T37" s="39"/>
      <c r="U37" s="39"/>
      <c r="V37" s="39"/>
      <c r="W37" s="39"/>
      <c r="X37" s="39"/>
      <c r="Y37" s="39"/>
      <c r="Z37" s="39"/>
      <c r="AA37" s="39"/>
      <c r="AB37" s="39"/>
      <c r="AC37" s="39"/>
      <c r="AD37" s="39"/>
      <c r="AE37" s="39"/>
      <c r="AF37" s="40"/>
    </row>
  </sheetData>
  <mergeCells count="2">
    <mergeCell ref="A10:A35"/>
    <mergeCell ref="C37:AF37"/>
  </mergeCells>
  <phoneticPr fontId="1" type="noConversion"/>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1074" r:id="rId4" name="chkFlowDirections">
          <controlPr defaultSize="0" autoLine="0" r:id="rId5">
            <anchor moveWithCells="1">
              <from>
                <xdr:col>13</xdr:col>
                <xdr:colOff>257175</xdr:colOff>
                <xdr:row>2</xdr:row>
                <xdr:rowOff>95250</xdr:rowOff>
              </from>
              <to>
                <xdr:col>18</xdr:col>
                <xdr:colOff>161925</xdr:colOff>
                <xdr:row>3</xdr:row>
                <xdr:rowOff>142875</xdr:rowOff>
              </to>
            </anchor>
          </controlPr>
        </control>
      </mc:Choice>
      <mc:Fallback>
        <control shapeId="1074" r:id="rId4" name="chkFlowDirections"/>
      </mc:Fallback>
    </mc:AlternateContent>
    <mc:AlternateContent xmlns:mc="http://schemas.openxmlformats.org/markup-compatibility/2006">
      <mc:Choice Requires="x14">
        <control shapeId="1072" r:id="rId6" name="cmdBuildEquations">
          <controlPr defaultSize="0" autoLine="0" r:id="rId7">
            <anchor moveWithCells="1">
              <from>
                <xdr:col>9</xdr:col>
                <xdr:colOff>171450</xdr:colOff>
                <xdr:row>6</xdr:row>
                <xdr:rowOff>47625</xdr:rowOff>
              </from>
              <to>
                <xdr:col>13</xdr:col>
                <xdr:colOff>0</xdr:colOff>
                <xdr:row>8</xdr:row>
                <xdr:rowOff>19050</xdr:rowOff>
              </to>
            </anchor>
          </controlPr>
        </control>
      </mc:Choice>
      <mc:Fallback>
        <control shapeId="1072" r:id="rId6" name="cmdBuildEquations"/>
      </mc:Fallback>
    </mc:AlternateContent>
    <mc:AlternateContent xmlns:mc="http://schemas.openxmlformats.org/markup-compatibility/2006">
      <mc:Choice Requires="x14">
        <control shapeId="1073" r:id="rId8" name="chkColorShade">
          <controlPr defaultSize="0" autoLine="0" r:id="rId9">
            <anchor moveWithCells="1">
              <from>
                <xdr:col>13</xdr:col>
                <xdr:colOff>266700</xdr:colOff>
                <xdr:row>1</xdr:row>
                <xdr:rowOff>0</xdr:rowOff>
              </from>
              <to>
                <xdr:col>18</xdr:col>
                <xdr:colOff>257175</xdr:colOff>
                <xdr:row>2</xdr:row>
                <xdr:rowOff>85725</xdr:rowOff>
              </to>
            </anchor>
          </controlPr>
        </control>
      </mc:Choice>
      <mc:Fallback>
        <control shapeId="1073" r:id="rId8" name="chkColorShade"/>
      </mc:Fallback>
    </mc:AlternateContent>
    <mc:AlternateContent xmlns:mc="http://schemas.openxmlformats.org/markup-compatibility/2006">
      <mc:Choice Requires="x14">
        <control shapeId="1075" r:id="rId10" name="cmdRedrawArrows">
          <controlPr defaultSize="0" disabled="1" autoLine="0" r:id="rId11">
            <anchor moveWithCells="1">
              <from>
                <xdr:col>14</xdr:col>
                <xdr:colOff>238125</xdr:colOff>
                <xdr:row>6</xdr:row>
                <xdr:rowOff>76200</xdr:rowOff>
              </from>
              <to>
                <xdr:col>18</xdr:col>
                <xdr:colOff>19050</xdr:colOff>
                <xdr:row>8</xdr:row>
                <xdr:rowOff>0</xdr:rowOff>
              </to>
            </anchor>
          </controlPr>
        </control>
      </mc:Choice>
      <mc:Fallback>
        <control shapeId="1075" r:id="rId10" name="cmdRedrawArrows"/>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AI37"/>
  <sheetViews>
    <sheetView showGridLines="0" workbookViewId="0">
      <selection activeCell="F50" sqref="F50"/>
    </sheetView>
  </sheetViews>
  <sheetFormatPr defaultRowHeight="12.75" x14ac:dyDescent="0.2"/>
  <cols>
    <col min="1" max="1" width="5.140625" customWidth="1"/>
    <col min="2" max="32" width="4.5703125" customWidth="1"/>
    <col min="35" max="35" width="9.5703125" bestFit="1" customWidth="1"/>
  </cols>
  <sheetData>
    <row r="1" spans="1:32" ht="23.25" x14ac:dyDescent="0.35">
      <c r="A1" s="1" t="s">
        <v>11</v>
      </c>
      <c r="B1" s="1"/>
    </row>
    <row r="2" spans="1:32" x14ac:dyDescent="0.2">
      <c r="K2" s="4" t="s">
        <v>14</v>
      </c>
      <c r="L2" s="20">
        <v>0.2</v>
      </c>
      <c r="M2" s="2" t="str">
        <f>"[" &amp; lunit &amp; "/" &amp; tunit &amp; "]"</f>
        <v>[ft/day]</v>
      </c>
    </row>
    <row r="6" spans="1:32" x14ac:dyDescent="0.2">
      <c r="D6" s="4" t="s">
        <v>25</v>
      </c>
      <c r="E6" s="20">
        <f>MAX(C10:AF35)</f>
        <v>1.0222087960681667</v>
      </c>
      <c r="F6" s="2" t="str">
        <f>"[" &amp; lunit &amp; "/" &amp; tunit &amp; "]"</f>
        <v>[ft/day]</v>
      </c>
    </row>
    <row r="10" spans="1:32" x14ac:dyDescent="0.2">
      <c r="A10" s="41" t="s">
        <v>12</v>
      </c>
      <c r="B10" s="10">
        <f t="shared" ref="B10:B34" si="0">B11+cellsize</f>
        <v>250</v>
      </c>
      <c r="C10" s="26"/>
      <c r="D10" s="26"/>
      <c r="E10" s="26"/>
      <c r="F10" s="26"/>
      <c r="G10" s="26"/>
      <c r="H10" s="26"/>
      <c r="I10" s="26"/>
      <c r="J10" s="26"/>
      <c r="K10" s="26"/>
      <c r="L10" s="26"/>
      <c r="M10" s="26"/>
      <c r="N10" s="26"/>
      <c r="O10" s="26"/>
      <c r="P10" s="26"/>
      <c r="Q10" s="26"/>
      <c r="R10" s="26"/>
      <c r="S10" s="26"/>
      <c r="T10" s="26"/>
      <c r="U10" s="26"/>
      <c r="V10" s="26"/>
      <c r="W10" s="26"/>
      <c r="X10" s="26"/>
      <c r="Y10" s="26"/>
      <c r="Z10" s="26"/>
      <c r="AA10" s="26"/>
      <c r="AB10" s="26"/>
      <c r="AC10" s="26"/>
      <c r="AD10" s="26"/>
      <c r="AE10" s="26"/>
      <c r="AF10" s="26"/>
    </row>
    <row r="11" spans="1:32" x14ac:dyDescent="0.2">
      <c r="A11" s="42"/>
      <c r="B11" s="11">
        <f t="shared" si="0"/>
        <v>240</v>
      </c>
      <c r="C11" s="26"/>
      <c r="D11" s="26"/>
      <c r="E11" s="26"/>
      <c r="F11" s="26"/>
      <c r="G11" s="26"/>
      <c r="H11" s="26"/>
      <c r="I11" s="26"/>
      <c r="J11" s="26"/>
      <c r="K11" s="26"/>
      <c r="L11" s="26"/>
      <c r="M11" s="26"/>
      <c r="N11" s="26"/>
      <c r="O11" s="26"/>
      <c r="P11" s="26"/>
      <c r="Q11" s="26"/>
      <c r="R11" s="26"/>
      <c r="S11" s="26"/>
      <c r="T11" s="26"/>
      <c r="U11" s="26"/>
      <c r="V11" s="26"/>
      <c r="W11" s="26"/>
      <c r="X11" s="26"/>
      <c r="Y11" s="26"/>
      <c r="Z11" s="26"/>
      <c r="AA11" s="26"/>
      <c r="AB11" s="26"/>
      <c r="AC11" s="26"/>
      <c r="AD11" s="26"/>
      <c r="AE11" s="26"/>
      <c r="AF11" s="26"/>
    </row>
    <row r="12" spans="1:32" x14ac:dyDescent="0.2">
      <c r="A12" s="42"/>
      <c r="B12" s="11">
        <f t="shared" si="0"/>
        <v>230</v>
      </c>
      <c r="C12" s="26"/>
      <c r="D12" s="26"/>
      <c r="E12" s="26"/>
      <c r="F12" s="26"/>
      <c r="G12" s="26"/>
      <c r="H12" s="26"/>
      <c r="I12" s="26"/>
      <c r="J12" s="26"/>
      <c r="K12" s="26"/>
      <c r="L12" s="26"/>
      <c r="M12" s="26"/>
      <c r="N12" s="26"/>
      <c r="O12" s="26"/>
      <c r="P12" s="26"/>
      <c r="Q12" s="26"/>
      <c r="R12" s="26"/>
      <c r="S12" s="26"/>
      <c r="T12" s="26"/>
      <c r="U12" s="26"/>
      <c r="V12" s="26"/>
      <c r="W12" s="26"/>
      <c r="X12" s="26"/>
      <c r="Y12" s="26"/>
      <c r="Z12" s="26"/>
      <c r="AA12" s="26"/>
      <c r="AB12" s="26"/>
      <c r="AC12" s="26"/>
      <c r="AD12" s="26"/>
      <c r="AE12" s="26"/>
      <c r="AF12" s="26"/>
    </row>
    <row r="13" spans="1:32" x14ac:dyDescent="0.2">
      <c r="A13" s="42"/>
      <c r="B13" s="11">
        <f t="shared" si="0"/>
        <v>220</v>
      </c>
      <c r="C13" s="26"/>
      <c r="D13" s="26"/>
      <c r="E13" s="26"/>
      <c r="F13" s="26"/>
      <c r="G13" s="26"/>
      <c r="H13" s="26"/>
      <c r="I13" s="26"/>
      <c r="J13" s="26"/>
      <c r="K13" s="26"/>
      <c r="L13" s="26"/>
      <c r="M13" s="26"/>
      <c r="N13" s="26"/>
      <c r="O13" s="26"/>
      <c r="P13" s="26"/>
      <c r="Q13" s="26"/>
      <c r="R13" s="26"/>
      <c r="S13" s="26"/>
      <c r="T13" s="26"/>
      <c r="U13" s="26"/>
      <c r="V13" s="26"/>
      <c r="W13" s="26"/>
      <c r="X13" s="26"/>
      <c r="Y13" s="26"/>
      <c r="Z13" s="26"/>
      <c r="AA13" s="26"/>
      <c r="AB13" s="26"/>
      <c r="AC13" s="26"/>
      <c r="AD13" s="26"/>
      <c r="AE13" s="26"/>
      <c r="AF13" s="26"/>
    </row>
    <row r="14" spans="1:32" x14ac:dyDescent="0.2">
      <c r="A14" s="42"/>
      <c r="B14" s="11">
        <f t="shared" si="0"/>
        <v>210</v>
      </c>
      <c r="C14" s="26"/>
      <c r="D14" s="26"/>
      <c r="E14" s="26"/>
      <c r="F14" s="26"/>
      <c r="G14" s="26"/>
      <c r="H14" s="26"/>
      <c r="I14" s="26"/>
      <c r="J14" s="26"/>
      <c r="K14" s="26"/>
      <c r="L14" s="26"/>
      <c r="M14" s="26"/>
      <c r="N14" s="26"/>
      <c r="O14" s="26"/>
      <c r="P14" s="26"/>
      <c r="Q14" s="26"/>
      <c r="R14" s="26"/>
      <c r="S14" s="26"/>
      <c r="T14" s="26"/>
      <c r="U14" s="26"/>
      <c r="V14" s="26"/>
      <c r="W14" s="26"/>
      <c r="X14" s="26"/>
      <c r="Y14" s="26"/>
      <c r="Z14" s="26"/>
      <c r="AA14" s="26"/>
      <c r="AB14" s="26"/>
      <c r="AC14" s="26"/>
      <c r="AD14" s="26"/>
      <c r="AE14" s="26"/>
      <c r="AF14" s="26"/>
    </row>
    <row r="15" spans="1:32" x14ac:dyDescent="0.2">
      <c r="A15" s="42"/>
      <c r="B15" s="11">
        <f t="shared" si="0"/>
        <v>200</v>
      </c>
      <c r="C15" s="26"/>
      <c r="D15" s="26"/>
      <c r="E15" s="26"/>
      <c r="F15" s="33"/>
      <c r="G15" s="33"/>
      <c r="H15" s="33"/>
      <c r="I15" s="33"/>
      <c r="J15" s="33"/>
      <c r="K15" s="33"/>
      <c r="L15" s="33"/>
      <c r="M15" s="33"/>
      <c r="N15" s="33"/>
      <c r="O15" s="33"/>
      <c r="P15" s="33"/>
      <c r="Q15" s="33"/>
      <c r="R15" s="33"/>
      <c r="S15" s="33"/>
      <c r="T15" s="33"/>
      <c r="U15" s="33"/>
      <c r="V15" s="33"/>
      <c r="W15" s="33"/>
      <c r="X15" s="33"/>
      <c r="Y15" s="33"/>
      <c r="Z15" s="26"/>
      <c r="AA15" s="26"/>
      <c r="AB15" s="26"/>
      <c r="AC15" s="26"/>
      <c r="AD15" s="26"/>
      <c r="AE15" s="26"/>
      <c r="AF15" s="26"/>
    </row>
    <row r="16" spans="1:32" x14ac:dyDescent="0.2">
      <c r="A16" s="42"/>
      <c r="B16" s="11">
        <f t="shared" si="0"/>
        <v>190</v>
      </c>
      <c r="C16" s="26"/>
      <c r="D16" s="26"/>
      <c r="E16" s="26"/>
      <c r="F16" s="33"/>
      <c r="G16" s="33"/>
      <c r="H16" s="33"/>
      <c r="I16" s="33"/>
      <c r="J16" s="33"/>
      <c r="K16" s="33"/>
      <c r="L16" s="33"/>
      <c r="M16" s="33"/>
      <c r="N16" s="33"/>
      <c r="O16" s="33"/>
      <c r="P16" s="33"/>
      <c r="Q16" s="33"/>
      <c r="R16" s="33"/>
      <c r="S16" s="33"/>
      <c r="T16" s="33"/>
      <c r="U16" s="33"/>
      <c r="V16" s="33"/>
      <c r="W16" s="33"/>
      <c r="X16" s="33"/>
      <c r="Y16" s="33"/>
      <c r="Z16" s="26"/>
      <c r="AA16" s="26"/>
      <c r="AB16" s="26"/>
      <c r="AC16" s="26"/>
      <c r="AD16" s="26"/>
      <c r="AE16" s="26"/>
      <c r="AF16" s="26"/>
    </row>
    <row r="17" spans="1:35" x14ac:dyDescent="0.2">
      <c r="A17" s="42"/>
      <c r="B17" s="11">
        <f t="shared" si="0"/>
        <v>180</v>
      </c>
      <c r="C17" s="26"/>
      <c r="D17" s="26"/>
      <c r="E17" s="26"/>
      <c r="F17" s="33"/>
      <c r="G17" s="33"/>
      <c r="H17" s="33"/>
      <c r="I17" s="33"/>
      <c r="J17" s="33"/>
      <c r="K17" s="33"/>
      <c r="L17" s="33"/>
      <c r="M17" s="33"/>
      <c r="N17" s="33"/>
      <c r="O17" s="33"/>
      <c r="P17" s="33"/>
      <c r="Q17" s="33"/>
      <c r="R17" s="33"/>
      <c r="S17" s="33"/>
      <c r="T17" s="33"/>
      <c r="U17" s="33"/>
      <c r="V17" s="33"/>
      <c r="W17" s="33"/>
      <c r="X17" s="33"/>
      <c r="Y17" s="33"/>
      <c r="Z17" s="33"/>
      <c r="AA17" s="33"/>
      <c r="AB17" s="33"/>
      <c r="AC17" s="33"/>
      <c r="AD17" s="26"/>
      <c r="AE17" s="26"/>
      <c r="AF17" s="26"/>
    </row>
    <row r="18" spans="1:35" x14ac:dyDescent="0.2">
      <c r="A18" s="42"/>
      <c r="B18" s="11">
        <f t="shared" si="0"/>
        <v>170</v>
      </c>
      <c r="C18" s="26"/>
      <c r="D18" s="26"/>
      <c r="E18" s="26"/>
      <c r="F18" s="33"/>
      <c r="G18" s="33"/>
      <c r="H18" s="30">
        <v>3.2536331724529077E-2</v>
      </c>
      <c r="I18" s="30">
        <v>3.3657004637451846E-2</v>
      </c>
      <c r="J18" s="30">
        <v>3.7106459708336814E-2</v>
      </c>
      <c r="K18" s="30">
        <v>4.3151861092673015E-2</v>
      </c>
      <c r="L18" s="30">
        <v>5.2279349789583304E-2</v>
      </c>
      <c r="M18" s="30">
        <v>6.5271319818471341E-2</v>
      </c>
      <c r="N18" s="30">
        <v>8.3355706776291075E-2</v>
      </c>
      <c r="O18" s="30">
        <v>0.1084949533383508</v>
      </c>
      <c r="P18" s="30">
        <v>0.14395260730694304</v>
      </c>
      <c r="Q18" s="30">
        <v>0.19539460585095511</v>
      </c>
      <c r="R18" s="30">
        <v>0.27286434573288643</v>
      </c>
      <c r="S18" s="30">
        <v>0.39321921791674724</v>
      </c>
      <c r="T18" s="30">
        <v>0.57615652531090689</v>
      </c>
      <c r="U18" s="30">
        <v>0.78807826265545344</v>
      </c>
      <c r="V18" s="33"/>
      <c r="W18" s="33"/>
      <c r="X18" s="33"/>
      <c r="Y18" s="33"/>
      <c r="Z18" s="33"/>
      <c r="AA18" s="33"/>
      <c r="AB18" s="33"/>
      <c r="AC18" s="33"/>
      <c r="AD18" s="26"/>
      <c r="AE18" s="26"/>
      <c r="AF18" s="26"/>
    </row>
    <row r="19" spans="1:35" x14ac:dyDescent="0.2">
      <c r="A19" s="42"/>
      <c r="B19" s="11">
        <f t="shared" si="0"/>
        <v>160</v>
      </c>
      <c r="C19" s="26"/>
      <c r="D19" s="26"/>
      <c r="E19" s="26"/>
      <c r="F19" s="33"/>
      <c r="G19" s="33"/>
      <c r="H19" s="34">
        <v>3.1431588246362024E-2</v>
      </c>
      <c r="I19" s="34">
        <v>3.2569927723814736E-2</v>
      </c>
      <c r="J19" s="34">
        <v>3.6119009083878537E-2</v>
      </c>
      <c r="K19" s="34">
        <v>4.2294083471549011E-2</v>
      </c>
      <c r="L19" s="34">
        <v>5.1545054560630403E-2</v>
      </c>
      <c r="M19" s="34">
        <v>6.4618705890280195E-2</v>
      </c>
      <c r="N19" s="34">
        <v>8.2699919857898332E-2</v>
      </c>
      <c r="O19" s="34">
        <v>0.10768410585458427</v>
      </c>
      <c r="P19" s="34">
        <v>0.14273280731929164</v>
      </c>
      <c r="Q19" s="34">
        <v>0.19343409126769245</v>
      </c>
      <c r="R19" s="34">
        <v>0.27017761661828715</v>
      </c>
      <c r="S19" s="34">
        <v>0.3924127475009821</v>
      </c>
      <c r="T19" s="34">
        <v>0.59535251492613028</v>
      </c>
      <c r="U19" s="34">
        <v>1.0222087960681667</v>
      </c>
      <c r="V19" s="33"/>
      <c r="W19" s="33"/>
      <c r="X19" s="33"/>
      <c r="Y19" s="33"/>
      <c r="Z19" s="33"/>
      <c r="AA19" s="33"/>
      <c r="AB19" s="33"/>
      <c r="AC19" s="33"/>
      <c r="AD19" s="26"/>
      <c r="AE19" s="26"/>
      <c r="AF19" s="26"/>
    </row>
    <row r="20" spans="1:35" x14ac:dyDescent="0.2">
      <c r="A20" s="42"/>
      <c r="B20" s="11">
        <f t="shared" si="0"/>
        <v>150</v>
      </c>
      <c r="C20" s="26"/>
      <c r="D20" s="26"/>
      <c r="E20" s="26"/>
      <c r="F20" s="33"/>
      <c r="G20" s="33"/>
      <c r="H20" s="34">
        <v>2.820660235763572E-2</v>
      </c>
      <c r="I20" s="34">
        <v>2.9409937719141497E-2</v>
      </c>
      <c r="J20" s="34">
        <v>3.3287220739218623E-2</v>
      </c>
      <c r="K20" s="34">
        <v>3.987146384871576E-2</v>
      </c>
      <c r="L20" s="34">
        <v>4.9493947823733182E-2</v>
      </c>
      <c r="M20" s="34">
        <v>6.2796033052921682E-2</v>
      </c>
      <c r="N20" s="34">
        <v>8.0831300432218256E-2</v>
      </c>
      <c r="O20" s="34">
        <v>0.10526720900067446</v>
      </c>
      <c r="P20" s="34">
        <v>0.13886022608479406</v>
      </c>
      <c r="Q20" s="34">
        <v>0.18671984731889177</v>
      </c>
      <c r="R20" s="34">
        <v>0.26033310379904773</v>
      </c>
      <c r="S20" s="34">
        <v>0.39309854886539419</v>
      </c>
      <c r="T20" s="34">
        <v>0.70876859652379387</v>
      </c>
      <c r="U20" s="31">
        <v>0.5950046746280887</v>
      </c>
      <c r="V20" s="31">
        <v>0.25193531773302807</v>
      </c>
      <c r="W20" s="31">
        <v>0.18791139880844482</v>
      </c>
      <c r="X20" s="31">
        <v>0.16997255179051224</v>
      </c>
      <c r="Y20" s="33"/>
      <c r="Z20" s="33"/>
      <c r="AA20" s="33"/>
      <c r="AB20" s="33"/>
      <c r="AC20" s="33"/>
      <c r="AD20" s="26"/>
      <c r="AE20" s="26"/>
      <c r="AF20" s="26"/>
    </row>
    <row r="21" spans="1:35" x14ac:dyDescent="0.2">
      <c r="A21" s="42"/>
      <c r="B21" s="11">
        <f t="shared" si="0"/>
        <v>140</v>
      </c>
      <c r="C21" s="26"/>
      <c r="D21" s="26"/>
      <c r="E21" s="26"/>
      <c r="F21" s="33"/>
      <c r="G21" s="33"/>
      <c r="H21" s="34">
        <v>2.3120043002721677E-2</v>
      </c>
      <c r="I21" s="34">
        <v>2.4480314510597245E-2</v>
      </c>
      <c r="J21" s="34">
        <v>2.9014333121286484E-2</v>
      </c>
      <c r="K21" s="34">
        <v>3.633931304814618E-2</v>
      </c>
      <c r="L21" s="34">
        <v>4.6573132938216154E-2</v>
      </c>
      <c r="M21" s="34">
        <v>6.0208946277402385E-2</v>
      </c>
      <c r="N21" s="34">
        <v>7.8098624099016842E-2</v>
      </c>
      <c r="O21" s="34">
        <v>0.10147690820611742</v>
      </c>
      <c r="P21" s="34">
        <v>0.13205697148497658</v>
      </c>
      <c r="Q21" s="34">
        <v>0.17219197605086828</v>
      </c>
      <c r="R21" s="34">
        <v>0.22488936685050864</v>
      </c>
      <c r="S21" s="34">
        <v>0.29187229595755293</v>
      </c>
      <c r="T21" s="34">
        <v>0.35954392860009565</v>
      </c>
      <c r="U21" s="34">
        <v>0.39776905364755544</v>
      </c>
      <c r="V21" s="34">
        <v>0.23363982603976616</v>
      </c>
      <c r="W21" s="34">
        <v>0.16988674798130901</v>
      </c>
      <c r="X21" s="34">
        <v>0.15308891451738432</v>
      </c>
      <c r="Y21" s="33"/>
      <c r="Z21" s="33"/>
      <c r="AA21" s="33"/>
      <c r="AB21" s="33"/>
      <c r="AC21" s="33"/>
      <c r="AD21" s="26"/>
      <c r="AE21" s="26"/>
      <c r="AF21" s="26"/>
    </row>
    <row r="22" spans="1:35" x14ac:dyDescent="0.2">
      <c r="A22" s="42"/>
      <c r="B22" s="11">
        <f t="shared" si="0"/>
        <v>130</v>
      </c>
      <c r="C22" s="26"/>
      <c r="D22" s="26"/>
      <c r="E22" s="26"/>
      <c r="F22" s="33"/>
      <c r="G22" s="33"/>
      <c r="H22" s="34">
        <v>1.6592555522679756E-2</v>
      </c>
      <c r="I22" s="34">
        <v>1.832330868429656E-2</v>
      </c>
      <c r="J22" s="34">
        <v>2.4045674688631027E-2</v>
      </c>
      <c r="K22" s="34">
        <v>3.2473045732913666E-2</v>
      </c>
      <c r="L22" s="34">
        <v>4.3493388326491793E-2</v>
      </c>
      <c r="M22" s="34">
        <v>5.7514437677172951E-2</v>
      </c>
      <c r="N22" s="34">
        <v>7.5217257583962804E-2</v>
      </c>
      <c r="O22" s="34">
        <v>9.7403846729489457E-2</v>
      </c>
      <c r="P22" s="34">
        <v>0.12478857906645809</v>
      </c>
      <c r="Q22" s="34">
        <v>0.15752296910336319</v>
      </c>
      <c r="R22" s="34">
        <v>0.19404063515571238</v>
      </c>
      <c r="S22" s="34">
        <v>0.22846286163945476</v>
      </c>
      <c r="T22" s="34">
        <v>0.2468090956912484</v>
      </c>
      <c r="U22" s="34">
        <v>0.23463737302199503</v>
      </c>
      <c r="V22" s="34">
        <v>0.17225030448182871</v>
      </c>
      <c r="W22" s="34">
        <v>0.12556001190262991</v>
      </c>
      <c r="X22" s="34">
        <v>0.11142316698981342</v>
      </c>
      <c r="Y22" s="33"/>
      <c r="Z22" s="33"/>
      <c r="AA22" s="33"/>
      <c r="AB22" s="33"/>
      <c r="AC22" s="33"/>
      <c r="AD22" s="26"/>
      <c r="AE22" s="26"/>
      <c r="AF22" s="26"/>
    </row>
    <row r="23" spans="1:35" x14ac:dyDescent="0.2">
      <c r="A23" s="42"/>
      <c r="B23" s="11">
        <f t="shared" si="0"/>
        <v>120</v>
      </c>
      <c r="C23" s="26"/>
      <c r="D23" s="26"/>
      <c r="E23" s="26"/>
      <c r="F23" s="33"/>
      <c r="G23" s="33"/>
      <c r="H23" s="34">
        <v>9.3126170069109584E-3</v>
      </c>
      <c r="I23" s="34">
        <v>1.2006680454013513E-2</v>
      </c>
      <c r="J23" s="34">
        <v>1.9668084863921076E-2</v>
      </c>
      <c r="K23" s="34">
        <v>2.9355903031099185E-2</v>
      </c>
      <c r="L23" s="34">
        <v>4.1120422007354364E-2</v>
      </c>
      <c r="M23" s="34">
        <v>5.5475831212082237E-2</v>
      </c>
      <c r="N23" s="34">
        <v>7.3043246994470207E-2</v>
      </c>
      <c r="O23" s="34">
        <v>9.4356537648171521E-2</v>
      </c>
      <c r="P23" s="34">
        <v>0.11954125275208041</v>
      </c>
      <c r="Q23" s="34">
        <v>0.14767920731739206</v>
      </c>
      <c r="R23" s="34">
        <v>0.1756701688390932</v>
      </c>
      <c r="S23" s="34">
        <v>0.19667723660910899</v>
      </c>
      <c r="T23" s="34">
        <v>0.19966539889255216</v>
      </c>
      <c r="U23" s="34">
        <v>0.17495469347930298</v>
      </c>
      <c r="V23" s="34">
        <v>0.12706016361395392</v>
      </c>
      <c r="W23" s="34">
        <v>7.9300500490937592E-2</v>
      </c>
      <c r="X23" s="34">
        <v>6.1707209392355293E-2</v>
      </c>
      <c r="Y23" s="33"/>
      <c r="Z23" s="33"/>
      <c r="AA23" s="33"/>
      <c r="AB23" s="33"/>
      <c r="AC23" s="33"/>
      <c r="AD23" s="26"/>
      <c r="AE23" s="26"/>
      <c r="AF23" s="26"/>
      <c r="AI23" s="16"/>
    </row>
    <row r="24" spans="1:35" x14ac:dyDescent="0.2">
      <c r="A24" s="42"/>
      <c r="B24" s="11">
        <f t="shared" si="0"/>
        <v>110</v>
      </c>
      <c r="C24" s="26"/>
      <c r="D24" s="26"/>
      <c r="E24" s="26"/>
      <c r="F24" s="33"/>
      <c r="G24" s="33"/>
      <c r="H24" s="34">
        <v>6.0019982403850657E-3</v>
      </c>
      <c r="I24" s="34">
        <v>9.674392695291396E-3</v>
      </c>
      <c r="J24" s="34">
        <v>1.8446847652748559E-2</v>
      </c>
      <c r="K24" s="34">
        <v>2.8674978649785837E-2</v>
      </c>
      <c r="L24" s="34">
        <v>4.0756236069166674E-2</v>
      </c>
      <c r="M24" s="34">
        <v>5.5288277588021691E-2</v>
      </c>
      <c r="N24" s="34">
        <v>7.2872116823801958E-2</v>
      </c>
      <c r="O24" s="34">
        <v>9.3934774967199902E-2</v>
      </c>
      <c r="P24" s="34">
        <v>0.1183815906857808</v>
      </c>
      <c r="Q24" s="34">
        <v>0.14494085638982951</v>
      </c>
      <c r="R24" s="34">
        <v>0.17012235155520142</v>
      </c>
      <c r="S24" s="34">
        <v>0.18710829938234591</v>
      </c>
      <c r="T24" s="34">
        <v>0.1861419911546664</v>
      </c>
      <c r="U24" s="34">
        <v>0.15984346267557434</v>
      </c>
      <c r="V24" s="34">
        <v>0.11365496020237904</v>
      </c>
      <c r="W24" s="34">
        <v>6.215000625385398E-2</v>
      </c>
      <c r="X24" s="34">
        <v>3.9167063208740104E-2</v>
      </c>
      <c r="Y24" s="33"/>
      <c r="Z24" s="33"/>
      <c r="AA24" s="33"/>
      <c r="AB24" s="33"/>
      <c r="AC24" s="33"/>
      <c r="AD24" s="26"/>
      <c r="AE24" s="26"/>
      <c r="AF24" s="26"/>
    </row>
    <row r="25" spans="1:35" x14ac:dyDescent="0.2">
      <c r="A25" s="42"/>
      <c r="B25" s="11">
        <f t="shared" si="0"/>
        <v>100</v>
      </c>
      <c r="C25" s="26"/>
      <c r="D25" s="26"/>
      <c r="E25" s="26"/>
      <c r="F25" s="33"/>
      <c r="G25" s="33"/>
      <c r="H25" s="33"/>
      <c r="I25" s="33"/>
      <c r="J25" s="33"/>
      <c r="K25" s="33"/>
      <c r="L25" s="33"/>
      <c r="M25" s="33"/>
      <c r="N25" s="33"/>
      <c r="O25" s="33"/>
      <c r="P25" s="33"/>
      <c r="Q25" s="33"/>
      <c r="R25" s="33"/>
      <c r="S25" s="33"/>
      <c r="T25" s="33"/>
      <c r="U25" s="33"/>
      <c r="V25" s="33"/>
      <c r="W25" s="33"/>
      <c r="X25" s="33"/>
      <c r="Y25" s="33"/>
      <c r="Z25" s="33"/>
      <c r="AA25" s="33"/>
      <c r="AB25" s="33"/>
      <c r="AC25" s="33"/>
      <c r="AD25" s="26"/>
      <c r="AE25" s="26"/>
      <c r="AF25" s="26"/>
    </row>
    <row r="26" spans="1:35" x14ac:dyDescent="0.2">
      <c r="A26" s="42"/>
      <c r="B26" s="11">
        <f t="shared" si="0"/>
        <v>90</v>
      </c>
      <c r="C26" s="26"/>
      <c r="D26" s="26"/>
      <c r="E26" s="26"/>
      <c r="F26" s="33"/>
      <c r="G26" s="33"/>
      <c r="H26" s="33"/>
      <c r="I26" s="33"/>
      <c r="J26" s="33"/>
      <c r="K26" s="33"/>
      <c r="L26" s="33"/>
      <c r="M26" s="33"/>
      <c r="N26" s="33"/>
      <c r="O26" s="33"/>
      <c r="P26" s="33"/>
      <c r="Q26" s="33"/>
      <c r="R26" s="33"/>
      <c r="S26" s="33"/>
      <c r="T26" s="33"/>
      <c r="U26" s="33"/>
      <c r="V26" s="33"/>
      <c r="W26" s="33"/>
      <c r="X26" s="33"/>
      <c r="Y26" s="33"/>
      <c r="Z26" s="33"/>
      <c r="AA26" s="33"/>
      <c r="AB26" s="33"/>
      <c r="AC26" s="33"/>
      <c r="AD26" s="26"/>
      <c r="AE26" s="26"/>
      <c r="AF26" s="26"/>
    </row>
    <row r="27" spans="1:35" x14ac:dyDescent="0.2">
      <c r="A27" s="42"/>
      <c r="B27" s="11">
        <f t="shared" si="0"/>
        <v>80</v>
      </c>
      <c r="C27" s="26"/>
      <c r="D27" s="26"/>
      <c r="E27" s="26"/>
      <c r="F27" s="33"/>
      <c r="G27" s="33"/>
      <c r="H27" s="33"/>
      <c r="I27" s="33"/>
      <c r="J27" s="33"/>
      <c r="K27" s="33"/>
      <c r="L27" s="33"/>
      <c r="M27" s="33"/>
      <c r="N27" s="33"/>
      <c r="O27" s="33"/>
      <c r="P27" s="33"/>
      <c r="Q27" s="33"/>
      <c r="R27" s="33"/>
      <c r="S27" s="33"/>
      <c r="T27" s="33"/>
      <c r="U27" s="33"/>
      <c r="V27" s="33"/>
      <c r="W27" s="33"/>
      <c r="X27" s="33"/>
      <c r="Y27" s="33"/>
      <c r="Z27" s="33"/>
      <c r="AA27" s="33"/>
      <c r="AB27" s="33"/>
      <c r="AC27" s="33"/>
      <c r="AD27" s="26"/>
      <c r="AE27" s="26"/>
      <c r="AF27" s="26"/>
    </row>
    <row r="28" spans="1:35" x14ac:dyDescent="0.2">
      <c r="A28" s="42"/>
      <c r="B28" s="11">
        <f t="shared" si="0"/>
        <v>70</v>
      </c>
      <c r="C28" s="26"/>
      <c r="D28" s="26"/>
      <c r="E28" s="26"/>
      <c r="F28" s="26"/>
      <c r="G28" s="33"/>
      <c r="H28" s="33"/>
      <c r="I28" s="33"/>
      <c r="J28" s="33"/>
      <c r="K28" s="33"/>
      <c r="L28" s="33"/>
      <c r="M28" s="33"/>
      <c r="N28" s="33"/>
      <c r="O28" s="33"/>
      <c r="P28" s="33"/>
      <c r="Q28" s="33"/>
      <c r="R28" s="33"/>
      <c r="S28" s="33"/>
      <c r="T28" s="33"/>
      <c r="U28" s="33"/>
      <c r="V28" s="33"/>
      <c r="W28" s="33"/>
      <c r="X28" s="33"/>
      <c r="Y28" s="33"/>
      <c r="Z28" s="33"/>
      <c r="AA28" s="33"/>
      <c r="AB28" s="33"/>
      <c r="AC28" s="33"/>
      <c r="AD28" s="26"/>
      <c r="AE28" s="26"/>
      <c r="AF28" s="26"/>
    </row>
    <row r="29" spans="1:35" x14ac:dyDescent="0.2">
      <c r="A29" s="42"/>
      <c r="B29" s="11">
        <f t="shared" si="0"/>
        <v>60</v>
      </c>
      <c r="C29" s="26"/>
      <c r="D29" s="26"/>
      <c r="E29" s="26"/>
      <c r="F29" s="26"/>
      <c r="G29" s="33"/>
      <c r="H29" s="33"/>
      <c r="I29" s="33"/>
      <c r="J29" s="33"/>
      <c r="K29" s="33"/>
      <c r="L29" s="33"/>
      <c r="M29" s="33"/>
      <c r="N29" s="33"/>
      <c r="O29" s="33"/>
      <c r="P29" s="33"/>
      <c r="Q29" s="33"/>
      <c r="R29" s="33"/>
      <c r="S29" s="33"/>
      <c r="T29" s="33"/>
      <c r="U29" s="33"/>
      <c r="V29" s="33"/>
      <c r="W29" s="33"/>
      <c r="X29" s="33"/>
      <c r="Y29" s="33"/>
      <c r="Z29" s="33"/>
      <c r="AA29" s="33"/>
      <c r="AB29" s="33"/>
      <c r="AC29" s="33"/>
      <c r="AD29" s="26"/>
      <c r="AE29" s="26"/>
      <c r="AF29" s="26"/>
    </row>
    <row r="30" spans="1:35" x14ac:dyDescent="0.2">
      <c r="A30" s="42"/>
      <c r="B30" s="11">
        <f t="shared" si="0"/>
        <v>50</v>
      </c>
      <c r="C30" s="26"/>
      <c r="D30" s="26"/>
      <c r="E30" s="26"/>
      <c r="F30" s="26"/>
      <c r="G30" s="33"/>
      <c r="H30" s="33"/>
      <c r="I30" s="33"/>
      <c r="J30" s="33"/>
      <c r="K30" s="33"/>
      <c r="L30" s="33"/>
      <c r="M30" s="33"/>
      <c r="N30" s="33"/>
      <c r="O30" s="33"/>
      <c r="P30" s="33"/>
      <c r="Q30" s="33"/>
      <c r="R30" s="33"/>
      <c r="S30" s="33"/>
      <c r="T30" s="33"/>
      <c r="U30" s="33"/>
      <c r="V30" s="33"/>
      <c r="W30" s="33"/>
      <c r="X30" s="33"/>
      <c r="Y30" s="33"/>
      <c r="Z30" s="33"/>
      <c r="AA30" s="33"/>
      <c r="AB30" s="33"/>
      <c r="AC30" s="33"/>
      <c r="AD30" s="26"/>
      <c r="AE30" s="26"/>
      <c r="AF30" s="26"/>
    </row>
    <row r="31" spans="1:35" x14ac:dyDescent="0.2">
      <c r="A31" s="42"/>
      <c r="B31" s="11">
        <f t="shared" si="0"/>
        <v>40</v>
      </c>
      <c r="C31" s="26"/>
      <c r="D31" s="26"/>
      <c r="E31" s="26"/>
      <c r="F31" s="26"/>
      <c r="G31" s="26"/>
      <c r="H31" s="26"/>
      <c r="I31" s="26"/>
      <c r="J31" s="26"/>
      <c r="K31" s="26"/>
      <c r="L31" s="26"/>
      <c r="M31" s="26"/>
      <c r="N31" s="26"/>
      <c r="O31" s="26"/>
      <c r="P31" s="26"/>
      <c r="Q31" s="26"/>
      <c r="R31" s="26"/>
      <c r="S31" s="26"/>
      <c r="T31" s="26"/>
      <c r="U31" s="26"/>
      <c r="V31" s="26"/>
      <c r="W31" s="26"/>
      <c r="X31" s="26"/>
      <c r="Y31" s="26"/>
      <c r="Z31" s="26"/>
      <c r="AA31" s="26"/>
      <c r="AB31" s="26"/>
      <c r="AC31" s="26"/>
      <c r="AD31" s="26"/>
      <c r="AE31" s="26"/>
      <c r="AF31" s="26"/>
    </row>
    <row r="32" spans="1:35" x14ac:dyDescent="0.2">
      <c r="A32" s="42"/>
      <c r="B32" s="11">
        <f t="shared" si="0"/>
        <v>30</v>
      </c>
      <c r="C32" s="26"/>
      <c r="D32" s="26"/>
      <c r="E32" s="26"/>
      <c r="F32" s="26"/>
      <c r="G32" s="26"/>
      <c r="H32" s="26"/>
      <c r="I32" s="26"/>
      <c r="J32" s="26"/>
      <c r="K32" s="26"/>
      <c r="L32" s="26"/>
      <c r="M32" s="26"/>
      <c r="N32" s="26"/>
      <c r="O32" s="26"/>
      <c r="P32" s="26"/>
      <c r="Q32" s="26"/>
      <c r="R32" s="26"/>
      <c r="S32" s="26"/>
      <c r="T32" s="26"/>
      <c r="U32" s="26"/>
      <c r="V32" s="26"/>
      <c r="W32" s="26"/>
      <c r="X32" s="26"/>
      <c r="Y32" s="26"/>
      <c r="Z32" s="26"/>
      <c r="AA32" s="26"/>
      <c r="AB32" s="26"/>
      <c r="AC32" s="26"/>
      <c r="AD32" s="26"/>
      <c r="AE32" s="26"/>
      <c r="AF32" s="26"/>
    </row>
    <row r="33" spans="1:32" x14ac:dyDescent="0.2">
      <c r="A33" s="42"/>
      <c r="B33" s="11">
        <f t="shared" si="0"/>
        <v>20</v>
      </c>
      <c r="C33" s="26"/>
      <c r="D33" s="26"/>
      <c r="E33" s="26"/>
      <c r="F33" s="26"/>
      <c r="G33" s="26"/>
      <c r="H33" s="26"/>
      <c r="I33" s="26"/>
      <c r="J33" s="26"/>
      <c r="K33" s="26"/>
      <c r="L33" s="26"/>
      <c r="M33" s="26"/>
      <c r="N33" s="26"/>
      <c r="O33" s="26"/>
      <c r="P33" s="26"/>
      <c r="Q33" s="26"/>
      <c r="R33" s="26"/>
      <c r="S33" s="26"/>
      <c r="T33" s="26"/>
      <c r="U33" s="26"/>
      <c r="V33" s="26"/>
      <c r="W33" s="26"/>
      <c r="X33" s="26"/>
      <c r="Y33" s="26"/>
      <c r="Z33" s="26"/>
      <c r="AA33" s="26"/>
      <c r="AB33" s="26"/>
      <c r="AC33" s="26"/>
      <c r="AD33" s="26"/>
      <c r="AE33" s="26"/>
      <c r="AF33" s="26"/>
    </row>
    <row r="34" spans="1:32" x14ac:dyDescent="0.2">
      <c r="A34" s="42"/>
      <c r="B34" s="11">
        <f t="shared" si="0"/>
        <v>10</v>
      </c>
      <c r="C34" s="26"/>
      <c r="D34" s="26"/>
      <c r="E34" s="26"/>
      <c r="F34" s="26"/>
      <c r="G34" s="26"/>
      <c r="H34" s="26"/>
      <c r="I34" s="26"/>
      <c r="J34" s="26"/>
      <c r="K34" s="26"/>
      <c r="L34" s="26"/>
      <c r="M34" s="26"/>
      <c r="N34" s="26"/>
      <c r="O34" s="26"/>
      <c r="P34" s="26"/>
      <c r="Q34" s="26"/>
      <c r="R34" s="26"/>
      <c r="S34" s="26"/>
      <c r="T34" s="26"/>
      <c r="U34" s="26"/>
      <c r="V34" s="26"/>
      <c r="W34" s="26"/>
      <c r="X34" s="26"/>
      <c r="Y34" s="26"/>
      <c r="Z34" s="26"/>
      <c r="AA34" s="26"/>
      <c r="AB34" s="26"/>
      <c r="AC34" s="26"/>
      <c r="AD34" s="26"/>
      <c r="AE34" s="26"/>
      <c r="AF34" s="26"/>
    </row>
    <row r="35" spans="1:32" x14ac:dyDescent="0.2">
      <c r="A35" s="43"/>
      <c r="B35" s="12">
        <v>0</v>
      </c>
      <c r="C35" s="26"/>
      <c r="D35" s="26"/>
      <c r="E35" s="26"/>
      <c r="F35" s="26"/>
      <c r="G35" s="26"/>
      <c r="H35" s="26"/>
      <c r="I35" s="26"/>
      <c r="J35" s="26"/>
      <c r="K35" s="26"/>
      <c r="L35" s="26"/>
      <c r="M35" s="26"/>
      <c r="N35" s="26"/>
      <c r="O35" s="26"/>
      <c r="P35" s="26"/>
      <c r="Q35" s="26"/>
      <c r="R35" s="26"/>
      <c r="S35" s="26"/>
      <c r="T35" s="26"/>
      <c r="U35" s="26"/>
      <c r="V35" s="26"/>
      <c r="W35" s="26"/>
      <c r="X35" s="26"/>
      <c r="Y35" s="26"/>
      <c r="Z35" s="26"/>
      <c r="AA35" s="26"/>
      <c r="AB35" s="26"/>
      <c r="AC35" s="26"/>
      <c r="AD35" s="26"/>
      <c r="AE35" s="26"/>
      <c r="AF35" s="26"/>
    </row>
    <row r="36" spans="1:32" x14ac:dyDescent="0.2">
      <c r="C36" s="6">
        <v>0</v>
      </c>
      <c r="D36" s="5">
        <f t="shared" ref="D36:AF36" si="1">C36+cellsize</f>
        <v>10</v>
      </c>
      <c r="E36" s="5">
        <f t="shared" si="1"/>
        <v>20</v>
      </c>
      <c r="F36" s="5">
        <f t="shared" si="1"/>
        <v>30</v>
      </c>
      <c r="G36" s="5">
        <f t="shared" si="1"/>
        <v>40</v>
      </c>
      <c r="H36" s="5">
        <f t="shared" si="1"/>
        <v>50</v>
      </c>
      <c r="I36" s="5">
        <f t="shared" si="1"/>
        <v>60</v>
      </c>
      <c r="J36" s="5">
        <f t="shared" si="1"/>
        <v>70</v>
      </c>
      <c r="K36" s="5">
        <f t="shared" si="1"/>
        <v>80</v>
      </c>
      <c r="L36" s="5">
        <f t="shared" si="1"/>
        <v>90</v>
      </c>
      <c r="M36" s="5">
        <f t="shared" si="1"/>
        <v>100</v>
      </c>
      <c r="N36" s="5">
        <f t="shared" si="1"/>
        <v>110</v>
      </c>
      <c r="O36" s="5">
        <f t="shared" si="1"/>
        <v>120</v>
      </c>
      <c r="P36" s="5">
        <f t="shared" si="1"/>
        <v>130</v>
      </c>
      <c r="Q36" s="5">
        <f t="shared" si="1"/>
        <v>140</v>
      </c>
      <c r="R36" s="5">
        <f t="shared" si="1"/>
        <v>150</v>
      </c>
      <c r="S36" s="5">
        <f t="shared" si="1"/>
        <v>160</v>
      </c>
      <c r="T36" s="5">
        <f t="shared" si="1"/>
        <v>170</v>
      </c>
      <c r="U36" s="5">
        <f t="shared" si="1"/>
        <v>180</v>
      </c>
      <c r="V36" s="5">
        <f t="shared" si="1"/>
        <v>190</v>
      </c>
      <c r="W36" s="5">
        <f t="shared" si="1"/>
        <v>200</v>
      </c>
      <c r="X36" s="5">
        <f t="shared" si="1"/>
        <v>210</v>
      </c>
      <c r="Y36" s="5">
        <f t="shared" si="1"/>
        <v>220</v>
      </c>
      <c r="Z36" s="5">
        <f t="shared" si="1"/>
        <v>230</v>
      </c>
      <c r="AA36" s="5">
        <f t="shared" si="1"/>
        <v>240</v>
      </c>
      <c r="AB36" s="5">
        <f t="shared" si="1"/>
        <v>250</v>
      </c>
      <c r="AC36" s="5">
        <f t="shared" si="1"/>
        <v>260</v>
      </c>
      <c r="AD36" s="5">
        <f t="shared" si="1"/>
        <v>270</v>
      </c>
      <c r="AE36" s="5">
        <f t="shared" si="1"/>
        <v>280</v>
      </c>
      <c r="AF36" s="13">
        <f t="shared" si="1"/>
        <v>290</v>
      </c>
    </row>
    <row r="37" spans="1:32" ht="21" x14ac:dyDescent="0.35">
      <c r="C37" s="44" t="s">
        <v>13</v>
      </c>
      <c r="D37" s="45"/>
      <c r="E37" s="45"/>
      <c r="F37" s="45"/>
      <c r="G37" s="45"/>
      <c r="H37" s="45"/>
      <c r="I37" s="45"/>
      <c r="J37" s="45"/>
      <c r="K37" s="45"/>
      <c r="L37" s="45"/>
      <c r="M37" s="45"/>
      <c r="N37" s="45"/>
      <c r="O37" s="45"/>
      <c r="P37" s="45"/>
      <c r="Q37" s="45"/>
      <c r="R37" s="45"/>
      <c r="S37" s="45"/>
      <c r="T37" s="45"/>
      <c r="U37" s="45"/>
      <c r="V37" s="45"/>
      <c r="W37" s="45"/>
      <c r="X37" s="45"/>
      <c r="Y37" s="45"/>
      <c r="Z37" s="45"/>
      <c r="AA37" s="45"/>
      <c r="AB37" s="45"/>
      <c r="AC37" s="45"/>
      <c r="AD37" s="45"/>
      <c r="AE37" s="45"/>
      <c r="AF37" s="46"/>
    </row>
  </sheetData>
  <mergeCells count="2">
    <mergeCell ref="A10:A35"/>
    <mergeCell ref="C37:AF37"/>
  </mergeCells>
  <conditionalFormatting sqref="C10:AF35">
    <cfRule type="cellIs" dxfId="0" priority="1" operator="greaterThan">
      <formula>criticalgradient</formula>
    </cfRule>
  </conditionalFormatting>
  <pageMargins left="0.7" right="0.7" top="0.75" bottom="0.75" header="0.3" footer="0.3"/>
  <pageSetup orientation="portrait" horizontalDpi="0" verticalDpi="0" r:id="rId1"/>
  <drawing r:id="rId2"/>
  <legacyDrawing r:id="rId3"/>
  <oleObjects>
    <mc:AlternateContent xmlns:mc="http://schemas.openxmlformats.org/markup-compatibility/2006">
      <mc:Choice Requires="x14">
        <oleObject progId="Equation.3" shapeId="2053" r:id="rId4">
          <objectPr defaultSize="0" autoPict="0" r:id="rId5">
            <anchor moveWithCells="1" sizeWithCells="1">
              <from>
                <xdr:col>31</xdr:col>
                <xdr:colOff>238125</xdr:colOff>
                <xdr:row>2</xdr:row>
                <xdr:rowOff>19050</xdr:rowOff>
              </from>
              <to>
                <xdr:col>34</xdr:col>
                <xdr:colOff>38100</xdr:colOff>
                <xdr:row>5</xdr:row>
                <xdr:rowOff>66675</xdr:rowOff>
              </to>
            </anchor>
          </objectPr>
        </oleObject>
      </mc:Choice>
      <mc:Fallback>
        <oleObject progId="Equation.3" shapeId="2053" r:id="rId4"/>
      </mc:Fallback>
    </mc:AlternateContent>
  </oleObjects>
  <controls>
    <mc:AlternateContent xmlns:mc="http://schemas.openxmlformats.org/markup-compatibility/2006">
      <mc:Choice Requires="x14">
        <control shapeId="2057" r:id="rId6" name="optColorShade">
          <controlPr defaultSize="0" autoLine="0" r:id="rId7">
            <anchor moveWithCells="1">
              <from>
                <xdr:col>8</xdr:col>
                <xdr:colOff>19050</xdr:colOff>
                <xdr:row>6</xdr:row>
                <xdr:rowOff>19050</xdr:rowOff>
              </from>
              <to>
                <xdr:col>15</xdr:col>
                <xdr:colOff>180975</xdr:colOff>
                <xdr:row>7</xdr:row>
                <xdr:rowOff>104775</xdr:rowOff>
              </to>
            </anchor>
          </controlPr>
        </control>
      </mc:Choice>
      <mc:Fallback>
        <control shapeId="2057" r:id="rId6" name="optColorShade"/>
      </mc:Fallback>
    </mc:AlternateContent>
    <mc:AlternateContent xmlns:mc="http://schemas.openxmlformats.org/markup-compatibility/2006">
      <mc:Choice Requires="x14">
        <control shapeId="2056" r:id="rId8" name="optHighlight">
          <controlPr defaultSize="0" autoLine="0" r:id="rId9">
            <anchor moveWithCells="1">
              <from>
                <xdr:col>8</xdr:col>
                <xdr:colOff>19050</xdr:colOff>
                <xdr:row>4</xdr:row>
                <xdr:rowOff>104775</xdr:rowOff>
              </from>
              <to>
                <xdr:col>16</xdr:col>
                <xdr:colOff>76200</xdr:colOff>
                <xdr:row>6</xdr:row>
                <xdr:rowOff>28575</xdr:rowOff>
              </to>
            </anchor>
          </controlPr>
        </control>
      </mc:Choice>
      <mc:Fallback>
        <control shapeId="2056" r:id="rId8" name="optHighlight"/>
      </mc:Fallback>
    </mc:AlternateContent>
    <mc:AlternateContent xmlns:mc="http://schemas.openxmlformats.org/markup-compatibility/2006">
      <mc:Choice Requires="x14">
        <control shapeId="2055" r:id="rId10" name="optRemove">
          <controlPr defaultSize="0" autoLine="0" r:id="rId11">
            <anchor moveWithCells="1">
              <from>
                <xdr:col>8</xdr:col>
                <xdr:colOff>28575</xdr:colOff>
                <xdr:row>3</xdr:row>
                <xdr:rowOff>19050</xdr:rowOff>
              </from>
              <to>
                <xdr:col>14</xdr:col>
                <xdr:colOff>219075</xdr:colOff>
                <xdr:row>4</xdr:row>
                <xdr:rowOff>104775</xdr:rowOff>
              </to>
            </anchor>
          </controlPr>
        </control>
      </mc:Choice>
      <mc:Fallback>
        <control shapeId="2055" r:id="rId10" name="optRemove"/>
      </mc:Fallback>
    </mc:AlternateContent>
    <mc:AlternateContent xmlns:mc="http://schemas.openxmlformats.org/markup-compatibility/2006">
      <mc:Choice Requires="x14">
        <control shapeId="2049" r:id="rId12" name="cmdCalculateGradients">
          <controlPr defaultSize="0" autoLine="0" autoPict="0" r:id="rId13">
            <anchor moveWithCells="1">
              <from>
                <xdr:col>1</xdr:col>
                <xdr:colOff>142875</xdr:colOff>
                <xdr:row>2</xdr:row>
                <xdr:rowOff>9525</xdr:rowOff>
              </from>
              <to>
                <xdr:col>5</xdr:col>
                <xdr:colOff>285750</xdr:colOff>
                <xdr:row>4</xdr:row>
                <xdr:rowOff>38100</xdr:rowOff>
              </to>
            </anchor>
          </controlPr>
        </control>
      </mc:Choice>
      <mc:Fallback>
        <control shapeId="2049" r:id="rId12" name="cmdCalculateGradients"/>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N34"/>
  <sheetViews>
    <sheetView showGridLines="0" workbookViewId="0">
      <selection activeCell="E18" sqref="E18"/>
    </sheetView>
  </sheetViews>
  <sheetFormatPr defaultRowHeight="12.75" x14ac:dyDescent="0.2"/>
  <cols>
    <col min="3" max="3" width="9.28515625" customWidth="1"/>
  </cols>
  <sheetData>
    <row r="1" spans="1:40" ht="23.25" x14ac:dyDescent="0.35">
      <c r="A1" s="1" t="s">
        <v>15</v>
      </c>
    </row>
    <row r="2" spans="1:40" s="2" customFormat="1" x14ac:dyDescent="0.2"/>
    <row r="3" spans="1:40" s="2" customFormat="1" x14ac:dyDescent="0.2">
      <c r="C3" s="4" t="s">
        <v>10</v>
      </c>
      <c r="D3" s="5">
        <v>0.5</v>
      </c>
      <c r="E3" s="2" t="str">
        <f>"[" &amp; lunit &amp; "/" &amp; tunit &amp; "]"</f>
        <v>[ft/day]</v>
      </c>
    </row>
    <row r="4" spans="1:40" s="2" customFormat="1" x14ac:dyDescent="0.2">
      <c r="C4" s="4" t="s">
        <v>16</v>
      </c>
      <c r="D4" s="5">
        <v>500</v>
      </c>
      <c r="E4" s="2" t="str">
        <f>"[" &amp; lunit &amp; "]"</f>
        <v>[ft]</v>
      </c>
    </row>
    <row r="5" spans="1:40" s="2" customFormat="1" x14ac:dyDescent="0.2">
      <c r="C5" s="4" t="s">
        <v>17</v>
      </c>
      <c r="D5" s="5">
        <v>1</v>
      </c>
      <c r="E5" s="2" t="s">
        <v>18</v>
      </c>
    </row>
    <row r="6" spans="1:40" s="2" customFormat="1" x14ac:dyDescent="0.2"/>
    <row r="7" spans="1:40" s="2" customFormat="1" x14ac:dyDescent="0.2"/>
    <row r="8" spans="1:40" s="2" customFormat="1" x14ac:dyDescent="0.2">
      <c r="B8" s="4" t="s">
        <v>21</v>
      </c>
      <c r="C8" s="5">
        <v>50</v>
      </c>
      <c r="D8" s="5">
        <v>60</v>
      </c>
      <c r="E8" s="5">
        <v>70</v>
      </c>
      <c r="F8" s="5">
        <v>80</v>
      </c>
      <c r="G8" s="5">
        <v>90</v>
      </c>
      <c r="H8" s="5">
        <v>100</v>
      </c>
      <c r="I8" s="5">
        <v>110</v>
      </c>
      <c r="J8" s="5">
        <v>120</v>
      </c>
      <c r="K8" s="5">
        <v>130</v>
      </c>
      <c r="L8" s="5">
        <v>140</v>
      </c>
      <c r="M8" s="5">
        <v>150</v>
      </c>
      <c r="N8" s="5">
        <v>160</v>
      </c>
      <c r="O8" s="5">
        <v>170</v>
      </c>
      <c r="P8" s="5">
        <v>180</v>
      </c>
      <c r="Q8" s="5"/>
      <c r="R8" s="5"/>
      <c r="S8" s="5"/>
      <c r="T8" s="5"/>
      <c r="U8" s="5"/>
      <c r="V8" s="5"/>
    </row>
    <row r="9" spans="1:40" s="2" customFormat="1" x14ac:dyDescent="0.2">
      <c r="B9" s="4" t="s">
        <v>22</v>
      </c>
      <c r="C9" s="5">
        <f>cellsize/2</f>
        <v>5</v>
      </c>
      <c r="D9" s="5">
        <f t="shared" ref="D9:O9" si="0">cellsize</f>
        <v>10</v>
      </c>
      <c r="E9" s="5">
        <f t="shared" si="0"/>
        <v>10</v>
      </c>
      <c r="F9" s="5">
        <f t="shared" si="0"/>
        <v>10</v>
      </c>
      <c r="G9" s="5">
        <f t="shared" si="0"/>
        <v>10</v>
      </c>
      <c r="H9" s="5">
        <f t="shared" si="0"/>
        <v>10</v>
      </c>
      <c r="I9" s="5">
        <f t="shared" si="0"/>
        <v>10</v>
      </c>
      <c r="J9" s="5">
        <f t="shared" si="0"/>
        <v>10</v>
      </c>
      <c r="K9" s="5">
        <f t="shared" si="0"/>
        <v>10</v>
      </c>
      <c r="L9" s="5">
        <f t="shared" si="0"/>
        <v>10</v>
      </c>
      <c r="M9" s="5">
        <f t="shared" si="0"/>
        <v>10</v>
      </c>
      <c r="N9" s="5">
        <f t="shared" si="0"/>
        <v>10</v>
      </c>
      <c r="O9" s="5">
        <f t="shared" si="0"/>
        <v>10</v>
      </c>
      <c r="P9" s="5">
        <f>cellsize/2</f>
        <v>5</v>
      </c>
      <c r="Q9" s="5"/>
      <c r="R9" s="5"/>
      <c r="S9" s="5"/>
      <c r="T9" s="5"/>
      <c r="U9" s="5"/>
      <c r="V9" s="5"/>
    </row>
    <row r="10" spans="1:40" s="2" customFormat="1" x14ac:dyDescent="0.2">
      <c r="B10" s="4" t="s">
        <v>19</v>
      </c>
      <c r="C10" s="17">
        <f>(Main!$H$18 - Main!$H$19)/cellsize</f>
        <v>0</v>
      </c>
      <c r="D10" s="17">
        <f ca="1">(Main!$I$18 - Main!$I$19)/cellsize</f>
        <v>4.2180704728929187E-2</v>
      </c>
      <c r="E10" s="17">
        <f ca="1">(Main!$J$18 - Main!$J$19)/cellsize</f>
        <v>4.3649850211050986E-2</v>
      </c>
      <c r="F10" s="17">
        <f ca="1">(Main!$K$18 - Main!$K$19)/cellsize</f>
        <v>4.817628665137548E-2</v>
      </c>
      <c r="G10" s="17">
        <f ca="1">(Main!$L$18 - Main!$L$19)/cellsize</f>
        <v>5.6136252766752645E-2</v>
      </c>
      <c r="H10" s="17">
        <f ca="1">(Main!$M$18 - Main!$M$19)/cellsize</f>
        <v>6.8229383629353893E-2</v>
      </c>
      <c r="I10" s="17">
        <f ca="1">(Main!$N$18 - Main!$N$19)/cellsize</f>
        <v>8.5620603697347517E-2</v>
      </c>
      <c r="J10" s="17">
        <f ca="1">(Main!$O$18 - Main!$O$19)/cellsize</f>
        <v>0.11022390490415716</v>
      </c>
      <c r="K10" s="17">
        <f ca="1">(Main!$P$18 - Main!$P$19)/cellsize</f>
        <v>0.14526508496295634</v>
      </c>
      <c r="L10" s="17">
        <f ca="1">(Main!$Q$18 - Main!$Q$19)/cellsize</f>
        <v>0.19637993010193638</v>
      </c>
      <c r="M10" s="17">
        <f ca="1">(Main!$R$18 - Main!$R$19)/cellsize</f>
        <v>0.27358656722430297</v>
      </c>
      <c r="N10" s="17">
        <f ca="1">(Main!$S$18 - Main!$S$19)/cellsize</f>
        <v>0.39371991559937813</v>
      </c>
      <c r="O10" s="17">
        <f ca="1">(Main!$T$18 - Main!$T$19)/cellsize</f>
        <v>0.57646018009408806</v>
      </c>
      <c r="P10" s="17">
        <f ca="1">(Main!$U$18 - Main!$U$19)/cellsize</f>
        <v>0.78823009004704403</v>
      </c>
      <c r="Q10" s="17"/>
      <c r="R10" s="17"/>
      <c r="S10" s="17"/>
      <c r="T10" s="17"/>
      <c r="U10" s="17"/>
      <c r="V10" s="17"/>
      <c r="W10" s="14"/>
      <c r="X10" s="14"/>
      <c r="Y10" s="14"/>
      <c r="Z10" s="14"/>
      <c r="AA10" s="14"/>
      <c r="AB10" s="14"/>
      <c r="AC10" s="14"/>
      <c r="AD10" s="14"/>
      <c r="AE10" s="14"/>
      <c r="AF10" s="14"/>
      <c r="AG10" s="14"/>
      <c r="AH10" s="14"/>
      <c r="AI10" s="14"/>
      <c r="AJ10" s="14"/>
      <c r="AK10" s="14"/>
      <c r="AL10" s="14"/>
      <c r="AM10" s="14"/>
      <c r="AN10" s="14"/>
    </row>
    <row r="11" spans="1:40" s="2" customFormat="1" x14ac:dyDescent="0.2">
      <c r="B11" s="4" t="s">
        <v>23</v>
      </c>
      <c r="C11" s="17">
        <f t="shared" ref="C11:P11" si="1">k*C10</f>
        <v>0</v>
      </c>
      <c r="D11" s="17">
        <f t="shared" ca="1" si="1"/>
        <v>2.1090352364464594E-2</v>
      </c>
      <c r="E11" s="17">
        <f t="shared" ca="1" si="1"/>
        <v>2.1824925105525493E-2</v>
      </c>
      <c r="F11" s="17">
        <f t="shared" ca="1" si="1"/>
        <v>2.408814332568774E-2</v>
      </c>
      <c r="G11" s="17">
        <f t="shared" ca="1" si="1"/>
        <v>2.8068126383376323E-2</v>
      </c>
      <c r="H11" s="17">
        <f t="shared" ca="1" si="1"/>
        <v>3.4114691814676947E-2</v>
      </c>
      <c r="I11" s="17">
        <f t="shared" ca="1" si="1"/>
        <v>4.2810301848673758E-2</v>
      </c>
      <c r="J11" s="17">
        <f t="shared" ca="1" si="1"/>
        <v>5.5111952452078582E-2</v>
      </c>
      <c r="K11" s="17">
        <f t="shared" ca="1" si="1"/>
        <v>7.2632542481478171E-2</v>
      </c>
      <c r="L11" s="17">
        <f t="shared" ca="1" si="1"/>
        <v>9.8189965050968192E-2</v>
      </c>
      <c r="M11" s="17">
        <f t="shared" ca="1" si="1"/>
        <v>0.13679328361215148</v>
      </c>
      <c r="N11" s="17">
        <f t="shared" ca="1" si="1"/>
        <v>0.19685995779968907</v>
      </c>
      <c r="O11" s="17">
        <f t="shared" ca="1" si="1"/>
        <v>0.28823009004704403</v>
      </c>
      <c r="P11" s="17">
        <f t="shared" ca="1" si="1"/>
        <v>0.39411504502352201</v>
      </c>
      <c r="Q11" s="17"/>
      <c r="R11" s="17"/>
      <c r="S11" s="17"/>
      <c r="T11" s="17"/>
      <c r="U11" s="17"/>
      <c r="V11" s="17"/>
      <c r="W11" s="14"/>
      <c r="X11" s="14"/>
      <c r="Y11" s="14"/>
      <c r="Z11" s="14"/>
      <c r="AA11" s="14"/>
      <c r="AB11" s="14"/>
      <c r="AC11" s="14"/>
      <c r="AD11" s="14"/>
      <c r="AE11" s="14"/>
      <c r="AF11" s="14"/>
      <c r="AG11" s="14"/>
      <c r="AH11" s="14"/>
      <c r="AI11" s="14"/>
      <c r="AJ11" s="14"/>
      <c r="AK11" s="14"/>
      <c r="AL11" s="14"/>
      <c r="AM11" s="14"/>
      <c r="AN11" s="14"/>
    </row>
    <row r="12" spans="1:40" s="2" customFormat="1" x14ac:dyDescent="0.2">
      <c r="B12" s="4" t="s">
        <v>20</v>
      </c>
      <c r="C12" s="17">
        <f t="shared" ref="C12:P12" si="2">C9*C11</f>
        <v>0</v>
      </c>
      <c r="D12" s="17">
        <f t="shared" ca="1" si="2"/>
        <v>0.21090352364464593</v>
      </c>
      <c r="E12" s="17">
        <f t="shared" ca="1" si="2"/>
        <v>0.21824925105525494</v>
      </c>
      <c r="F12" s="17">
        <f t="shared" ca="1" si="2"/>
        <v>0.24088143325687739</v>
      </c>
      <c r="G12" s="17">
        <f t="shared" ca="1" si="2"/>
        <v>0.28068126383376324</v>
      </c>
      <c r="H12" s="17">
        <f t="shared" ca="1" si="2"/>
        <v>0.34114691814676945</v>
      </c>
      <c r="I12" s="17">
        <f t="shared" ca="1" si="2"/>
        <v>0.4281030184867376</v>
      </c>
      <c r="J12" s="17">
        <f t="shared" ca="1" si="2"/>
        <v>0.55111952452078583</v>
      </c>
      <c r="K12" s="17">
        <f t="shared" ca="1" si="2"/>
        <v>0.72632542481478168</v>
      </c>
      <c r="L12" s="17">
        <f t="shared" ca="1" si="2"/>
        <v>0.98189965050968198</v>
      </c>
      <c r="M12" s="17">
        <f t="shared" ca="1" si="2"/>
        <v>1.3679328361215148</v>
      </c>
      <c r="N12" s="17">
        <f t="shared" ca="1" si="2"/>
        <v>1.9685995779968906</v>
      </c>
      <c r="O12" s="17">
        <f t="shared" ca="1" si="2"/>
        <v>2.8823009004704403</v>
      </c>
      <c r="P12" s="17">
        <f t="shared" ca="1" si="2"/>
        <v>1.9705752251176101</v>
      </c>
      <c r="Q12" s="17"/>
      <c r="R12" s="17"/>
      <c r="S12" s="17"/>
      <c r="T12" s="17"/>
      <c r="U12" s="17"/>
      <c r="V12" s="17"/>
      <c r="W12" s="14"/>
      <c r="X12" s="14"/>
      <c r="Y12" s="14"/>
      <c r="Z12" s="14"/>
      <c r="AA12" s="14"/>
      <c r="AB12" s="14"/>
      <c r="AC12" s="14"/>
      <c r="AD12" s="14"/>
      <c r="AE12" s="14"/>
      <c r="AF12" s="14"/>
      <c r="AG12" s="14"/>
      <c r="AH12" s="14"/>
      <c r="AI12" s="14"/>
      <c r="AJ12" s="14"/>
      <c r="AK12" s="14"/>
      <c r="AL12" s="14"/>
      <c r="AM12" s="14"/>
      <c r="AN12" s="14"/>
    </row>
    <row r="13" spans="1:40" s="2" customFormat="1" x14ac:dyDescent="0.2">
      <c r="B13" s="4"/>
    </row>
    <row r="14" spans="1:40" s="2" customFormat="1" x14ac:dyDescent="0.2">
      <c r="B14" s="4" t="s">
        <v>24</v>
      </c>
      <c r="C14" s="18">
        <f ca="1">SUM(C12:P12)</f>
        <v>12.168718547975754</v>
      </c>
      <c r="D14" s="2" t="str">
        <f>"["&amp;lunit&amp;"^3/"&amp;tunit&amp;"/"&amp;lunit&amp;"]"</f>
        <v>[ft^3/day/ft]</v>
      </c>
    </row>
    <row r="15" spans="1:40" s="2" customFormat="1" x14ac:dyDescent="0.2">
      <c r="B15" s="4" t="s">
        <v>0</v>
      </c>
      <c r="C15" s="19">
        <f ca="1">unitq*length</f>
        <v>6084.3592739878768</v>
      </c>
      <c r="D15" s="2" t="str">
        <f>"["&amp;lunit&amp;"^3/"&amp;tunit&amp;"]"</f>
        <v>[ft^3/day]</v>
      </c>
    </row>
    <row r="16" spans="1:40" s="2" customFormat="1" x14ac:dyDescent="0.2"/>
    <row r="17" s="2" customFormat="1" x14ac:dyDescent="0.2"/>
    <row r="18" s="2" customFormat="1" x14ac:dyDescent="0.2"/>
    <row r="19" s="2" customFormat="1" x14ac:dyDescent="0.2"/>
    <row r="20" s="2" customFormat="1" x14ac:dyDescent="0.2"/>
    <row r="21" s="2" customFormat="1" x14ac:dyDescent="0.2"/>
    <row r="22" s="2" customFormat="1" x14ac:dyDescent="0.2"/>
    <row r="23" s="2" customFormat="1" x14ac:dyDescent="0.2"/>
    <row r="24" s="2" customFormat="1" x14ac:dyDescent="0.2"/>
    <row r="25" s="2" customFormat="1" x14ac:dyDescent="0.2"/>
    <row r="26" s="2" customFormat="1" x14ac:dyDescent="0.2"/>
    <row r="27" s="2" customFormat="1" x14ac:dyDescent="0.2"/>
    <row r="28" s="2" customFormat="1" x14ac:dyDescent="0.2"/>
    <row r="29" s="2" customFormat="1" x14ac:dyDescent="0.2"/>
    <row r="30" s="2" customFormat="1" x14ac:dyDescent="0.2"/>
    <row r="31" s="2" customFormat="1" x14ac:dyDescent="0.2"/>
    <row r="32" s="2" customFormat="1" x14ac:dyDescent="0.2"/>
    <row r="33" s="2" customFormat="1" x14ac:dyDescent="0.2"/>
    <row r="34" s="2" customFormat="1" x14ac:dyDescent="0.2"/>
  </sheetData>
  <phoneticPr fontId="1" type="noConversion"/>
  <pageMargins left="0.75" right="0.75" top="1" bottom="1" header="0.5" footer="0.5"/>
  <pageSetup orientation="portrait" horizontalDpi="0" verticalDpi="0" r:id="rId1"/>
  <headerFooter alignWithMargins="0"/>
  <drawing r:id="rId2"/>
  <legacyDrawing r:id="rId3"/>
  <controls>
    <mc:AlternateContent xmlns:mc="http://schemas.openxmlformats.org/markup-compatibility/2006">
      <mc:Choice Requires="x14">
        <control shapeId="3073" r:id="rId4" name="cmdCalculateFlowRate">
          <controlPr defaultSize="0" autoLine="0" r:id="rId5">
            <anchor moveWithCells="1">
              <from>
                <xdr:col>6</xdr:col>
                <xdr:colOff>19050</xdr:colOff>
                <xdr:row>2</xdr:row>
                <xdr:rowOff>76200</xdr:rowOff>
              </from>
              <to>
                <xdr:col>8</xdr:col>
                <xdr:colOff>28575</xdr:colOff>
                <xdr:row>4</xdr:row>
                <xdr:rowOff>38100</xdr:rowOff>
              </to>
            </anchor>
          </controlPr>
        </control>
      </mc:Choice>
      <mc:Fallback>
        <control shapeId="3073" r:id="rId4" name="cmdCalculateFlowRate"/>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18</vt:i4>
      </vt:variant>
    </vt:vector>
  </HeadingPairs>
  <TitlesOfParts>
    <vt:vector size="21" baseType="lpstr">
      <vt:lpstr>Main</vt:lpstr>
      <vt:lpstr>Gradient</vt:lpstr>
      <vt:lpstr>Flow Rate</vt:lpstr>
      <vt:lpstr>activecolor</vt:lpstr>
      <vt:lpstr>arrowcolor</vt:lpstr>
      <vt:lpstr>arrowsize</vt:lpstr>
      <vt:lpstr>backgroundcolor</vt:lpstr>
      <vt:lpstr>cellsize</vt:lpstr>
      <vt:lpstr>criticalgradient</vt:lpstr>
      <vt:lpstr>flowboundaryselection</vt:lpstr>
      <vt:lpstr>H_1</vt:lpstr>
      <vt:lpstr>H_2</vt:lpstr>
      <vt:lpstr>h1color</vt:lpstr>
      <vt:lpstr>h2color</vt:lpstr>
      <vt:lpstr>k</vt:lpstr>
      <vt:lpstr>length</vt:lpstr>
      <vt:lpstr>lunit</vt:lpstr>
      <vt:lpstr>problemdomain</vt:lpstr>
      <vt:lpstr>totalq</vt:lpstr>
      <vt:lpstr>tunit</vt:lpstr>
      <vt:lpstr>unitq</vt:lpstr>
    </vt:vector>
  </TitlesOfParts>
  <Company>Brigham Young University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Norm Jones</dc:creator>
  <cp:lastModifiedBy>Norm Jones</cp:lastModifiedBy>
  <dcterms:created xsi:type="dcterms:W3CDTF">2003-03-27T04:15:50Z</dcterms:created>
  <dcterms:modified xsi:type="dcterms:W3CDTF">2024-11-26T19:00:39Z</dcterms:modified>
</cp:coreProperties>
</file>