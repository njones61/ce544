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embeddings/oleObject1.bin" ContentType="application/vnd.openxmlformats-officedocument.oleObject"/>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Jones\My Drive\work - byu\courses\CE 544\exercises\8. finite difference\"/>
    </mc:Choice>
  </mc:AlternateContent>
  <xr:revisionPtr revIDLastSave="0" documentId="13_ncr:1_{03FB9777-25D8-4911-A6F3-42AC87EB5EBB}" xr6:coauthVersionLast="47" xr6:coauthVersionMax="47" xr10:uidLastSave="{00000000-0000-0000-0000-000000000000}"/>
  <bookViews>
    <workbookView xWindow="17670" yWindow="870" windowWidth="24690" windowHeight="18750" xr2:uid="{00000000-000D-0000-FFFF-FFFF00000000}"/>
  </bookViews>
  <sheets>
    <sheet name="Main" sheetId="1" r:id="rId1"/>
    <sheet name="Gradient" sheetId="4" r:id="rId2"/>
    <sheet name="Flow Rate" sheetId="2" r:id="rId3"/>
  </sheets>
  <functionGroups builtInGroupCount="19"/>
  <definedNames>
    <definedName name="activecolor">Main!$D$6</definedName>
    <definedName name="arrowcolor">Main!$R$6</definedName>
    <definedName name="arrowsize">Main!$R$5</definedName>
    <definedName name="backgroundcolor">Main!$D$7</definedName>
    <definedName name="cellsize">Main!$H$6</definedName>
    <definedName name="criticalgradient">Gradient!$L$2</definedName>
    <definedName name="flowboundaryselection">'Flow Rate'!$D$5</definedName>
    <definedName name="H_1">Main!$H$4</definedName>
    <definedName name="H_2">Main!$H$5</definedName>
    <definedName name="h1color">Main!$D$4</definedName>
    <definedName name="h2color">Main!$D$5</definedName>
    <definedName name="k">'Flow Rate'!$D$3</definedName>
    <definedName name="length">'Flow Rate'!$D$4</definedName>
    <definedName name="lunit">Main!$M$4</definedName>
    <definedName name="problemdomain">Main!$C$10:$AF$35</definedName>
    <definedName name="totalq">'Flow Rate'!$C$15</definedName>
    <definedName name="tunit">Main!$M$5</definedName>
    <definedName name="unitq">'Flow Rate'!$C$14</definedName>
  </definedNames>
  <calcPr calcId="191029" calcMode="manual" iterate="1" iterateCount="20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19" i="1" l="1"/>
  <c r="AD19" i="1"/>
  <c r="AC19" i="1"/>
  <c r="AB19" i="1"/>
  <c r="AA19" i="1"/>
  <c r="Z19" i="1"/>
  <c r="Y19" i="1"/>
  <c r="X19" i="1"/>
  <c r="W19" i="1"/>
  <c r="V19" i="1"/>
  <c r="L19" i="1"/>
  <c r="K19" i="1"/>
  <c r="J19" i="1"/>
  <c r="I19" i="1"/>
  <c r="H19" i="1"/>
  <c r="G19" i="1"/>
  <c r="F19" i="1"/>
  <c r="E19" i="1"/>
  <c r="D19" i="1"/>
  <c r="C19" i="1"/>
  <c r="L9" i="2"/>
  <c r="K9" i="2"/>
  <c r="J9" i="2"/>
  <c r="I9" i="2"/>
  <c r="H9" i="2"/>
  <c r="G9" i="2"/>
  <c r="F9" i="2"/>
  <c r="E9" i="2"/>
  <c r="D9" i="2"/>
  <c r="C9" i="2"/>
  <c r="D3" i="2"/>
  <c r="E6" i="4" l="1"/>
  <c r="F6" i="4"/>
  <c r="D15" i="2"/>
  <c r="D14" i="2"/>
  <c r="E4" i="2"/>
  <c r="E3" i="2"/>
  <c r="M2" i="4"/>
  <c r="D36" i="4"/>
  <c r="E36" i="4" s="1"/>
  <c r="F36" i="4" s="1"/>
  <c r="G36" i="4" s="1"/>
  <c r="H36" i="4" s="1"/>
  <c r="I36" i="4" s="1"/>
  <c r="J36" i="4" s="1"/>
  <c r="K36" i="4" s="1"/>
  <c r="L36" i="4" s="1"/>
  <c r="M36" i="4" s="1"/>
  <c r="N36" i="4" s="1"/>
  <c r="O36" i="4" s="1"/>
  <c r="P36" i="4" s="1"/>
  <c r="Q36" i="4" s="1"/>
  <c r="R36" i="4" s="1"/>
  <c r="S36" i="4" s="1"/>
  <c r="T36" i="4" s="1"/>
  <c r="U36" i="4" s="1"/>
  <c r="V36" i="4" s="1"/>
  <c r="W36" i="4" s="1"/>
  <c r="X36" i="4" s="1"/>
  <c r="Y36" i="4" s="1"/>
  <c r="Z36" i="4" s="1"/>
  <c r="AA36" i="4" s="1"/>
  <c r="AB36" i="4" s="1"/>
  <c r="AC36" i="4" s="1"/>
  <c r="AD36" i="4" s="1"/>
  <c r="AE36" i="4" s="1"/>
  <c r="AF36" i="4" s="1"/>
  <c r="B34" i="4"/>
  <c r="B33" i="4" s="1"/>
  <c r="B32" i="4" s="1"/>
  <c r="B31" i="4" s="1"/>
  <c r="B30" i="4" s="1"/>
  <c r="B29" i="4" s="1"/>
  <c r="B28" i="4" s="1"/>
  <c r="B27" i="4" s="1"/>
  <c r="B26" i="4" s="1"/>
  <c r="B25" i="4" s="1"/>
  <c r="B24" i="4" s="1"/>
  <c r="B23" i="4" s="1"/>
  <c r="B22" i="4" s="1"/>
  <c r="B21" i="4" s="1"/>
  <c r="B20" i="4" s="1"/>
  <c r="B19" i="4" s="1"/>
  <c r="B18" i="4" s="1"/>
  <c r="B17" i="4" s="1"/>
  <c r="B16" i="4" s="1"/>
  <c r="B15" i="4" s="1"/>
  <c r="B14" i="4" s="1"/>
  <c r="B13" i="4" s="1"/>
  <c r="B12" i="4" s="1"/>
  <c r="B11" i="4" s="1"/>
  <c r="B10" i="4" s="1"/>
  <c r="D36" i="1"/>
  <c r="E36" i="1" s="1"/>
  <c r="F36" i="1" s="1"/>
  <c r="G36" i="1" s="1"/>
  <c r="H36" i="1" s="1"/>
  <c r="I36" i="1" s="1"/>
  <c r="J36" i="1" s="1"/>
  <c r="K36" i="1" s="1"/>
  <c r="L36" i="1" s="1"/>
  <c r="M36" i="1" s="1"/>
  <c r="N36" i="1" s="1"/>
  <c r="O36" i="1" s="1"/>
  <c r="P36" i="1" s="1"/>
  <c r="Q36" i="1" s="1"/>
  <c r="R36" i="1" s="1"/>
  <c r="S36" i="1" s="1"/>
  <c r="T36" i="1" s="1"/>
  <c r="U36" i="1" s="1"/>
  <c r="V36" i="1" s="1"/>
  <c r="W36" i="1" s="1"/>
  <c r="X36" i="1" s="1"/>
  <c r="Y36" i="1" s="1"/>
  <c r="Z36" i="1" s="1"/>
  <c r="AA36" i="1" s="1"/>
  <c r="AB36" i="1" s="1"/>
  <c r="AC36" i="1" s="1"/>
  <c r="AD36" i="1" s="1"/>
  <c r="AE36" i="1" s="1"/>
  <c r="AF36" i="1" s="1"/>
  <c r="B34" i="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0" i="1" s="1"/>
  <c r="I6" i="1"/>
  <c r="I5" i="1"/>
  <c r="I4" i="1"/>
  <c r="C10" i="2"/>
  <c r="D10" i="2"/>
  <c r="E10" i="2"/>
  <c r="F10" i="2"/>
  <c r="G10" i="2"/>
  <c r="H10" i="2"/>
  <c r="I10" i="2"/>
  <c r="J10" i="2"/>
  <c r="K10" i="2"/>
  <c r="L10" i="2"/>
  <c r="C11" i="2"/>
  <c r="D11" i="2"/>
  <c r="E11" i="2"/>
  <c r="F11" i="2"/>
  <c r="G11" i="2"/>
  <c r="H11" i="2"/>
  <c r="I11" i="2"/>
  <c r="J11" i="2"/>
  <c r="K11" i="2"/>
  <c r="L11" i="2"/>
  <c r="C12" i="2"/>
  <c r="D12" i="2"/>
  <c r="E12" i="2"/>
  <c r="F12" i="2"/>
  <c r="G12" i="2"/>
  <c r="H12" i="2"/>
  <c r="I12" i="2"/>
  <c r="J12" i="2"/>
  <c r="K12" i="2"/>
  <c r="L12" i="2"/>
  <c r="C14" i="2"/>
  <c r="C15" i="2"/>
  <c r="M19" i="1"/>
  <c r="N19" i="1"/>
  <c r="O19" i="1"/>
  <c r="P19" i="1"/>
  <c r="Q19" i="1"/>
  <c r="R19" i="1"/>
  <c r="S19" i="1"/>
  <c r="T19" i="1"/>
  <c r="U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alcChain>
</file>

<file path=xl/sharedStrings.xml><?xml version="1.0" encoding="utf-8"?>
<sst xmlns="http://schemas.openxmlformats.org/spreadsheetml/2006/main" count="34" uniqueCount="30">
  <si>
    <t>Total Q:</t>
  </si>
  <si>
    <t>Finite Difference Solution - 2D Seepage</t>
  </si>
  <si>
    <t>Head 1:</t>
  </si>
  <si>
    <t>Head 2:</t>
  </si>
  <si>
    <t>Active:</t>
  </si>
  <si>
    <t>Background:</t>
  </si>
  <si>
    <t>day</t>
  </si>
  <si>
    <t>Length unit:</t>
  </si>
  <si>
    <t>Time unit:</t>
  </si>
  <si>
    <t>Cell Size:</t>
  </si>
  <si>
    <t>K:</t>
  </si>
  <si>
    <t>Hydraulic Gradient</t>
  </si>
  <si>
    <t>Y</t>
  </si>
  <si>
    <t>X</t>
  </si>
  <si>
    <t>Critical gradient:</t>
  </si>
  <si>
    <t>Flow Rate</t>
  </si>
  <si>
    <t>Problem length (transverse):</t>
  </si>
  <si>
    <t>Head boundary:</t>
  </si>
  <si>
    <t>&lt;-- Select 1 or 2</t>
  </si>
  <si>
    <t>dh/dy:</t>
  </si>
  <si>
    <t>qi:</t>
  </si>
  <si>
    <t>xi:</t>
  </si>
  <si>
    <t>Ai:</t>
  </si>
  <si>
    <t>vi:</t>
  </si>
  <si>
    <t>Unit Q:</t>
  </si>
  <si>
    <t>Max gradient:</t>
  </si>
  <si>
    <t>Arrow color:</t>
  </si>
  <si>
    <t>Arrow size:</t>
  </si>
  <si>
    <t>m</t>
  </si>
  <si>
    <t>CE 544 -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</si>
</sst>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
    <numFmt numFmtId="166" formatCode="0.00000"/>
    <numFmt numFmtId="167" formatCode="0.0000000"/>
  </numFmts>
  <fonts count="13" x14ac:knownFonts="1">
    <font>
      <sz val="10"/>
      <name val="Arial"/>
    </font>
    <font>
      <sz val="8"/>
      <name val="Arial"/>
      <family val="2"/>
    </font>
    <font>
      <b/>
      <sz val="18"/>
      <name val="Calibri"/>
      <family val="2"/>
      <scheme val="minor"/>
    </font>
    <font>
      <sz val="10"/>
      <name val="Calibri"/>
      <family val="2"/>
      <scheme val="minor"/>
    </font>
    <font>
      <i/>
      <sz val="10"/>
      <name val="Calibri"/>
      <family val="2"/>
      <scheme val="minor"/>
    </font>
    <font>
      <b/>
      <sz val="10"/>
      <name val="Calibri"/>
      <family val="2"/>
      <scheme val="minor"/>
    </font>
    <font>
      <b/>
      <sz val="8"/>
      <name val="Calibri"/>
      <family val="2"/>
      <scheme val="minor"/>
    </font>
    <font>
      <i/>
      <sz val="8"/>
      <name val="Calibri"/>
      <family val="2"/>
      <scheme val="minor"/>
    </font>
    <font>
      <sz val="8"/>
      <name val="Calibri"/>
      <family val="2"/>
      <scheme val="minor"/>
    </font>
    <font>
      <b/>
      <sz val="10"/>
      <color rgb="FF0070C0"/>
      <name val="Calibri"/>
      <family val="2"/>
      <scheme val="minor"/>
    </font>
    <font>
      <sz val="9"/>
      <name val="Calibri"/>
      <family val="2"/>
      <scheme val="minor"/>
    </font>
    <font>
      <b/>
      <sz val="20"/>
      <name val="Calibri"/>
      <family val="2"/>
      <scheme val="minor"/>
    </font>
    <font>
      <b/>
      <sz val="16"/>
      <name val="Calibri"/>
      <family val="2"/>
      <scheme val="minor"/>
    </font>
  </fonts>
  <fills count="9">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1"/>
        <bgColor indexed="64"/>
      </patternFill>
    </fill>
    <fill>
      <patternFill patternType="solid">
        <fgColor theme="0" tint="-0.249977111117893"/>
        <bgColor indexed="64"/>
      </patternFill>
    </fill>
    <fill>
      <patternFill patternType="solid">
        <fgColor rgb="FF0000FF"/>
        <bgColor indexed="64"/>
      </patternFill>
    </fill>
  </fills>
  <borders count="9">
    <border>
      <left/>
      <right/>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50">
    <xf numFmtId="0" fontId="0" fillId="0" borderId="0" xfId="0"/>
    <xf numFmtId="0" fontId="2" fillId="0" borderId="0" xfId="0" applyFont="1"/>
    <xf numFmtId="0" fontId="3" fillId="0" borderId="0" xfId="0" applyFont="1"/>
    <xf numFmtId="0" fontId="4" fillId="0" borderId="0" xfId="0" applyFont="1"/>
    <xf numFmtId="0" fontId="5" fillId="0" borderId="0" xfId="0" applyFont="1" applyAlignment="1">
      <alignment horizontal="right"/>
    </xf>
    <xf numFmtId="0" fontId="3" fillId="0" borderId="0" xfId="0" applyFont="1" applyAlignment="1">
      <alignment horizontal="center"/>
    </xf>
    <xf numFmtId="0" fontId="3" fillId="0" borderId="1" xfId="0" applyFont="1" applyBorder="1" applyAlignment="1">
      <alignment horizontal="center"/>
    </xf>
    <xf numFmtId="0" fontId="6" fillId="0" borderId="0" xfId="0" applyFont="1"/>
    <xf numFmtId="0" fontId="7" fillId="0" borderId="0" xfId="0" applyFont="1"/>
    <xf numFmtId="0" fontId="8" fillId="0" borderId="0" xfId="0" applyFont="1"/>
    <xf numFmtId="0" fontId="3" fillId="0" borderId="2" xfId="0" applyFont="1" applyBorder="1" applyAlignment="1">
      <alignment horizontal="center" vertical="top"/>
    </xf>
    <xf numFmtId="0" fontId="3" fillId="0" borderId="0" xfId="0" applyFont="1" applyAlignment="1">
      <alignment horizontal="center" vertical="top"/>
    </xf>
    <xf numFmtId="0" fontId="3" fillId="0" borderId="3" xfId="0" applyFont="1" applyBorder="1" applyAlignment="1">
      <alignment horizontal="center" vertical="top"/>
    </xf>
    <xf numFmtId="0" fontId="3" fillId="0" borderId="4" xfId="0" applyFont="1" applyBorder="1" applyAlignment="1">
      <alignment horizontal="center"/>
    </xf>
    <xf numFmtId="165" fontId="3" fillId="0" borderId="0" xfId="0" applyNumberFormat="1" applyFont="1"/>
    <xf numFmtId="166" fontId="3" fillId="0" borderId="0" xfId="0" applyNumberFormat="1" applyFont="1"/>
    <xf numFmtId="167" fontId="0" fillId="0" borderId="0" xfId="0" applyNumberFormat="1"/>
    <xf numFmtId="165" fontId="3" fillId="0" borderId="0" xfId="0" applyNumberFormat="1" applyFont="1" applyAlignment="1">
      <alignment horizontal="center"/>
    </xf>
    <xf numFmtId="165" fontId="9" fillId="2" borderId="0" xfId="0" applyNumberFormat="1" applyFont="1" applyFill="1" applyAlignment="1">
      <alignment horizontal="center"/>
    </xf>
    <xf numFmtId="164" fontId="9" fillId="2" borderId="0" xfId="0" applyNumberFormat="1" applyFont="1" applyFill="1" applyAlignment="1">
      <alignment horizontal="center"/>
    </xf>
    <xf numFmtId="2" fontId="3" fillId="0" borderId="0" xfId="0" applyNumberFormat="1" applyFont="1" applyAlignment="1">
      <alignment horizontal="center"/>
    </xf>
    <xf numFmtId="0" fontId="3" fillId="3" borderId="0" xfId="0" applyFont="1" applyFill="1" applyAlignment="1">
      <alignment horizontal="center" vertical="top"/>
    </xf>
    <xf numFmtId="0" fontId="3" fillId="4" borderId="0" xfId="0" applyFont="1" applyFill="1" applyAlignment="1">
      <alignment horizontal="center" vertical="top"/>
    </xf>
    <xf numFmtId="0" fontId="3" fillId="5" borderId="0" xfId="0" applyFont="1" applyFill="1" applyAlignment="1">
      <alignment horizontal="center" vertical="top"/>
    </xf>
    <xf numFmtId="0" fontId="3" fillId="6" borderId="5" xfId="0" applyFont="1" applyFill="1" applyBorder="1" applyAlignment="1">
      <alignment horizontal="center" vertical="top"/>
    </xf>
    <xf numFmtId="164" fontId="10" fillId="6" borderId="0" xfId="0" applyNumberFormat="1" applyFont="1" applyFill="1"/>
    <xf numFmtId="0" fontId="5" fillId="0" borderId="0" xfId="0" applyFont="1"/>
    <xf numFmtId="0" fontId="3" fillId="8" borderId="0" xfId="0" applyFont="1" applyFill="1"/>
    <xf numFmtId="2" fontId="10" fillId="6" borderId="0" xfId="0" applyNumberFormat="1" applyFont="1" applyFill="1"/>
    <xf numFmtId="2" fontId="3" fillId="4" borderId="0" xfId="0" applyNumberFormat="1" applyFont="1" applyFill="1" applyAlignment="1">
      <alignment horizontal="center" vertical="top"/>
    </xf>
    <xf numFmtId="2" fontId="3" fillId="3" borderId="0" xfId="0" applyNumberFormat="1" applyFont="1" applyFill="1" applyAlignment="1">
      <alignment horizontal="center" vertical="top"/>
    </xf>
    <xf numFmtId="164" fontId="3" fillId="0" borderId="0" xfId="0" applyNumberFormat="1" applyFont="1" applyAlignment="1">
      <alignment horizontal="center"/>
    </xf>
    <xf numFmtId="164" fontId="3" fillId="4" borderId="0" xfId="0" applyNumberFormat="1" applyFont="1" applyFill="1" applyAlignment="1">
      <alignment horizontal="center" vertical="top"/>
    </xf>
    <xf numFmtId="164" fontId="10" fillId="6" borderId="0" xfId="0" applyNumberFormat="1" applyFont="1" applyFill="1" applyAlignment="1">
      <alignment horizontal="center"/>
    </xf>
    <xf numFmtId="164" fontId="10" fillId="5" borderId="0" xfId="0" applyNumberFormat="1" applyFont="1" applyFill="1" applyAlignment="1">
      <alignment horizontal="center"/>
    </xf>
    <xf numFmtId="164" fontId="3" fillId="3" borderId="0" xfId="0" applyNumberFormat="1" applyFont="1" applyFill="1" applyAlignment="1">
      <alignment horizontal="center" vertical="top"/>
    </xf>
    <xf numFmtId="2" fontId="10" fillId="6" borderId="0" xfId="0" applyNumberFormat="1" applyFont="1" applyFill="1" applyAlignment="1">
      <alignment horizontal="center"/>
    </xf>
    <xf numFmtId="2" fontId="10" fillId="5" borderId="0" xfId="0" applyNumberFormat="1" applyFont="1" applyFill="1" applyAlignment="1">
      <alignment horizontal="center"/>
    </xf>
    <xf numFmtId="0" fontId="11" fillId="7" borderId="6" xfId="0" applyFont="1" applyFill="1" applyBorder="1" applyAlignment="1">
      <alignment horizontal="center" vertical="center" textRotation="90"/>
    </xf>
    <xf numFmtId="0" fontId="11" fillId="7" borderId="1" xfId="0" applyFont="1" applyFill="1" applyBorder="1" applyAlignment="1">
      <alignment horizontal="center" vertical="center" textRotation="90"/>
    </xf>
    <xf numFmtId="0" fontId="11" fillId="7" borderId="7" xfId="0" applyFont="1" applyFill="1" applyBorder="1" applyAlignment="1">
      <alignment horizontal="center" vertical="center" textRotation="90"/>
    </xf>
    <xf numFmtId="0" fontId="11" fillId="7" borderId="7" xfId="0" applyFont="1" applyFill="1" applyBorder="1" applyAlignment="1">
      <alignment horizontal="center"/>
    </xf>
    <xf numFmtId="0" fontId="11" fillId="7" borderId="3" xfId="0" applyFont="1" applyFill="1" applyBorder="1" applyAlignment="1">
      <alignment horizontal="center"/>
    </xf>
    <xf numFmtId="0" fontId="11" fillId="7" borderId="8" xfId="0" applyFont="1" applyFill="1" applyBorder="1" applyAlignment="1">
      <alignment horizontal="center"/>
    </xf>
    <xf numFmtId="0" fontId="12" fillId="7" borderId="6" xfId="0" applyFont="1" applyFill="1" applyBorder="1" applyAlignment="1">
      <alignment horizontal="center" vertical="center" textRotation="90"/>
    </xf>
    <xf numFmtId="0" fontId="12" fillId="7" borderId="1" xfId="0" applyFont="1" applyFill="1" applyBorder="1" applyAlignment="1">
      <alignment horizontal="center" vertical="center" textRotation="90"/>
    </xf>
    <xf numFmtId="0" fontId="12" fillId="7" borderId="7" xfId="0" applyFont="1" applyFill="1" applyBorder="1" applyAlignment="1">
      <alignment horizontal="center" vertical="center" textRotation="90"/>
    </xf>
    <xf numFmtId="0" fontId="12" fillId="7" borderId="7" xfId="0" applyFont="1" applyFill="1" applyBorder="1" applyAlignment="1">
      <alignment horizontal="center"/>
    </xf>
    <xf numFmtId="0" fontId="12" fillId="7" borderId="3" xfId="0" applyFont="1" applyFill="1" applyBorder="1" applyAlignment="1">
      <alignment horizontal="center"/>
    </xf>
    <xf numFmtId="0" fontId="12" fillId="7" borderId="8" xfId="0" applyFont="1" applyFill="1" applyBorder="1" applyAlignment="1">
      <alignment horizontal="center"/>
    </xf>
  </cellXfs>
  <cellStyles count="1">
    <cellStyle name="Normal" xfId="0" builtinId="0"/>
  </cellStyles>
  <dxfs count="1">
    <dxf>
      <fill>
        <patternFill>
          <fgColor indexed="64"/>
          <bgColor rgb="FFFFFF00"/>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5.wmf"/><Relationship Id="rId1" Type="http://schemas.openxmlformats.org/officeDocument/2006/relationships/image" Target="../media/image6.emf"/><Relationship Id="rId5" Type="http://schemas.openxmlformats.org/officeDocument/2006/relationships/image" Target="../media/image9.emf"/><Relationship Id="rId4"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19</xdr:col>
      <xdr:colOff>19242</xdr:colOff>
      <xdr:row>0</xdr:row>
      <xdr:rowOff>144318</xdr:rowOff>
    </xdr:from>
    <xdr:to>
      <xdr:col>31</xdr:col>
      <xdr:colOff>240529</xdr:colOff>
      <xdr:row>8</xdr:row>
      <xdr:rowOff>76970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945909" y="144318"/>
          <a:ext cx="3915832" cy="13854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000" b="1"/>
            <a:t>Directions</a:t>
          </a:r>
          <a:r>
            <a:rPr lang="en-US" sz="1000"/>
            <a:t>: This spreadsheet</a:t>
          </a:r>
          <a:r>
            <a:rPr lang="en-US" sz="1000" baseline="0"/>
            <a:t> solved seepage problems using the finite difference method.  It is assumed that kx=ky and that dx=dy.  Fill the problem domain shown below with the proper colors according to the legend and click on the "Build Equations" button.  Then hit F9 repeatedly to solve the equations iteratively.  Any cell not colored as Head 1, Head 2, or Active is assumed to be inactive (no-flow).  The grid is mesh-centered, i.e., each cell corresponds to a corner node of the implicitly-defined grid.</a:t>
          </a:r>
          <a:endParaRPr lang="en-US" sz="1000"/>
        </a:p>
      </xdr:txBody>
    </xdr:sp>
    <xdr:clientData/>
  </xdr:twoCellAnchor>
  <mc:AlternateContent xmlns:mc="http://schemas.openxmlformats.org/markup-compatibility/2006">
    <mc:Choice xmlns:a14="http://schemas.microsoft.com/office/drawing/2010/main" Requires="a14">
      <xdr:twoCellAnchor editAs="oneCell">
        <xdr:from>
          <xdr:col>9</xdr:col>
          <xdr:colOff>171450</xdr:colOff>
          <xdr:row>6</xdr:row>
          <xdr:rowOff>47625</xdr:rowOff>
        </xdr:from>
        <xdr:to>
          <xdr:col>13</xdr:col>
          <xdr:colOff>0</xdr:colOff>
          <xdr:row>8</xdr:row>
          <xdr:rowOff>19050</xdr:rowOff>
        </xdr:to>
        <xdr:sp macro="" textlink="">
          <xdr:nvSpPr>
            <xdr:cNvPr id="1072" name="cmdBuildEquations"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xdr:row>
          <xdr:rowOff>0</xdr:rowOff>
        </xdr:from>
        <xdr:to>
          <xdr:col>18</xdr:col>
          <xdr:colOff>257175</xdr:colOff>
          <xdr:row>2</xdr:row>
          <xdr:rowOff>85725</xdr:rowOff>
        </xdr:to>
        <xdr:sp macro="" textlink="">
          <xdr:nvSpPr>
            <xdr:cNvPr id="1073" name="chkColorShade"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257175</xdr:colOff>
          <xdr:row>2</xdr:row>
          <xdr:rowOff>95250</xdr:rowOff>
        </xdr:from>
        <xdr:to>
          <xdr:col>18</xdr:col>
          <xdr:colOff>161925</xdr:colOff>
          <xdr:row>3</xdr:row>
          <xdr:rowOff>142875</xdr:rowOff>
        </xdr:to>
        <xdr:sp macro="" textlink="">
          <xdr:nvSpPr>
            <xdr:cNvPr id="1074" name="chkFlowDirections"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238125</xdr:colOff>
          <xdr:row>6</xdr:row>
          <xdr:rowOff>76200</xdr:rowOff>
        </xdr:from>
        <xdr:to>
          <xdr:col>18</xdr:col>
          <xdr:colOff>19050</xdr:colOff>
          <xdr:row>8</xdr:row>
          <xdr:rowOff>0</xdr:rowOff>
        </xdr:to>
        <xdr:sp macro="" textlink="">
          <xdr:nvSpPr>
            <xdr:cNvPr id="1075" name="cmdRedrawArrows"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152400</xdr:colOff>
      <xdr:row>18</xdr:row>
      <xdr:rowOff>80963</xdr:rowOff>
    </xdr:from>
    <xdr:to>
      <xdr:col>3</xdr:col>
      <xdr:colOff>101588</xdr:colOff>
      <xdr:row>18</xdr:row>
      <xdr:rowOff>83391</xdr:rowOff>
    </xdr:to>
    <xdr:cxnSp macro="">
      <xdr:nvCxnSpPr>
        <xdr:cNvPr id="1170" name="Straight Arrow Connector 1169">
          <a:extLst>
            <a:ext uri="{FF2B5EF4-FFF2-40B4-BE49-F238E27FC236}">
              <a16:creationId xmlns:a16="http://schemas.microsoft.com/office/drawing/2014/main" id="{00000000-0008-0000-0000-000092040000}"/>
            </a:ext>
          </a:extLst>
        </xdr:cNvPr>
        <xdr:cNvCxnSpPr/>
      </xdr:nvCxnSpPr>
      <xdr:spPr>
        <a:xfrm>
          <a:off x="838200" y="3138488"/>
          <a:ext cx="253988" cy="242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152400</xdr:colOff>
      <xdr:row>18</xdr:row>
      <xdr:rowOff>80963</xdr:rowOff>
    </xdr:from>
    <xdr:to>
      <xdr:col>3</xdr:col>
      <xdr:colOff>152400</xdr:colOff>
      <xdr:row>20</xdr:row>
      <xdr:rowOff>11113</xdr:rowOff>
    </xdr:to>
    <xdr:cxnSp macro="">
      <xdr:nvCxnSpPr>
        <xdr:cNvPr id="1171" name="Straight Arrow Connector 1170">
          <a:extLst>
            <a:ext uri="{FF2B5EF4-FFF2-40B4-BE49-F238E27FC236}">
              <a16:creationId xmlns:a16="http://schemas.microsoft.com/office/drawing/2014/main" id="{00000000-0008-0000-0000-000093040000}"/>
            </a:ext>
          </a:extLst>
        </xdr:cNvPr>
        <xdr:cNvCxnSpPr/>
      </xdr:nvCxnSpPr>
      <xdr:spPr>
        <a:xfrm>
          <a:off x="1143000" y="3138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152400</xdr:colOff>
      <xdr:row>18</xdr:row>
      <xdr:rowOff>80963</xdr:rowOff>
    </xdr:from>
    <xdr:to>
      <xdr:col>4</xdr:col>
      <xdr:colOff>152400</xdr:colOff>
      <xdr:row>20</xdr:row>
      <xdr:rowOff>11113</xdr:rowOff>
    </xdr:to>
    <xdr:cxnSp macro="">
      <xdr:nvCxnSpPr>
        <xdr:cNvPr id="1172" name="Straight Arrow Connector 1171">
          <a:extLst>
            <a:ext uri="{FF2B5EF4-FFF2-40B4-BE49-F238E27FC236}">
              <a16:creationId xmlns:a16="http://schemas.microsoft.com/office/drawing/2014/main" id="{00000000-0008-0000-0000-000094040000}"/>
            </a:ext>
          </a:extLst>
        </xdr:cNvPr>
        <xdr:cNvCxnSpPr/>
      </xdr:nvCxnSpPr>
      <xdr:spPr>
        <a:xfrm>
          <a:off x="1447800" y="3138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18</xdr:row>
      <xdr:rowOff>80963</xdr:rowOff>
    </xdr:from>
    <xdr:to>
      <xdr:col>5</xdr:col>
      <xdr:colOff>152400</xdr:colOff>
      <xdr:row>20</xdr:row>
      <xdr:rowOff>11113</xdr:rowOff>
    </xdr:to>
    <xdr:cxnSp macro="">
      <xdr:nvCxnSpPr>
        <xdr:cNvPr id="1173" name="Straight Arrow Connector 1172">
          <a:extLst>
            <a:ext uri="{FF2B5EF4-FFF2-40B4-BE49-F238E27FC236}">
              <a16:creationId xmlns:a16="http://schemas.microsoft.com/office/drawing/2014/main" id="{00000000-0008-0000-0000-000095040000}"/>
            </a:ext>
          </a:extLst>
        </xdr:cNvPr>
        <xdr:cNvCxnSpPr/>
      </xdr:nvCxnSpPr>
      <xdr:spPr>
        <a:xfrm>
          <a:off x="1752600" y="3138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18</xdr:row>
      <xdr:rowOff>80963</xdr:rowOff>
    </xdr:from>
    <xdr:to>
      <xdr:col>6</xdr:col>
      <xdr:colOff>152400</xdr:colOff>
      <xdr:row>20</xdr:row>
      <xdr:rowOff>11113</xdr:rowOff>
    </xdr:to>
    <xdr:cxnSp macro="">
      <xdr:nvCxnSpPr>
        <xdr:cNvPr id="1174" name="Straight Arrow Connector 1173">
          <a:extLst>
            <a:ext uri="{FF2B5EF4-FFF2-40B4-BE49-F238E27FC236}">
              <a16:creationId xmlns:a16="http://schemas.microsoft.com/office/drawing/2014/main" id="{00000000-0008-0000-0000-000096040000}"/>
            </a:ext>
          </a:extLst>
        </xdr:cNvPr>
        <xdr:cNvCxnSpPr/>
      </xdr:nvCxnSpPr>
      <xdr:spPr>
        <a:xfrm>
          <a:off x="2057400" y="3138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152400</xdr:colOff>
      <xdr:row>18</xdr:row>
      <xdr:rowOff>80963</xdr:rowOff>
    </xdr:from>
    <xdr:to>
      <xdr:col>7</xdr:col>
      <xdr:colOff>152400</xdr:colOff>
      <xdr:row>20</xdr:row>
      <xdr:rowOff>11113</xdr:rowOff>
    </xdr:to>
    <xdr:cxnSp macro="">
      <xdr:nvCxnSpPr>
        <xdr:cNvPr id="1175" name="Straight Arrow Connector 1174">
          <a:extLst>
            <a:ext uri="{FF2B5EF4-FFF2-40B4-BE49-F238E27FC236}">
              <a16:creationId xmlns:a16="http://schemas.microsoft.com/office/drawing/2014/main" id="{00000000-0008-0000-0000-000097040000}"/>
            </a:ext>
          </a:extLst>
        </xdr:cNvPr>
        <xdr:cNvCxnSpPr/>
      </xdr:nvCxnSpPr>
      <xdr:spPr>
        <a:xfrm>
          <a:off x="2362200" y="3138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152400</xdr:colOff>
      <xdr:row>18</xdr:row>
      <xdr:rowOff>80963</xdr:rowOff>
    </xdr:from>
    <xdr:to>
      <xdr:col>8</xdr:col>
      <xdr:colOff>152400</xdr:colOff>
      <xdr:row>20</xdr:row>
      <xdr:rowOff>11113</xdr:rowOff>
    </xdr:to>
    <xdr:cxnSp macro="">
      <xdr:nvCxnSpPr>
        <xdr:cNvPr id="1176" name="Straight Arrow Connector 1175">
          <a:extLst>
            <a:ext uri="{FF2B5EF4-FFF2-40B4-BE49-F238E27FC236}">
              <a16:creationId xmlns:a16="http://schemas.microsoft.com/office/drawing/2014/main" id="{00000000-0008-0000-0000-000098040000}"/>
            </a:ext>
          </a:extLst>
        </xdr:cNvPr>
        <xdr:cNvCxnSpPr/>
      </xdr:nvCxnSpPr>
      <xdr:spPr>
        <a:xfrm>
          <a:off x="2667000" y="3138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18</xdr:row>
      <xdr:rowOff>80963</xdr:rowOff>
    </xdr:from>
    <xdr:to>
      <xdr:col>9</xdr:col>
      <xdr:colOff>152400</xdr:colOff>
      <xdr:row>20</xdr:row>
      <xdr:rowOff>11113</xdr:rowOff>
    </xdr:to>
    <xdr:cxnSp macro="">
      <xdr:nvCxnSpPr>
        <xdr:cNvPr id="1177" name="Straight Arrow Connector 1176">
          <a:extLst>
            <a:ext uri="{FF2B5EF4-FFF2-40B4-BE49-F238E27FC236}">
              <a16:creationId xmlns:a16="http://schemas.microsoft.com/office/drawing/2014/main" id="{00000000-0008-0000-0000-000099040000}"/>
            </a:ext>
          </a:extLst>
        </xdr:cNvPr>
        <xdr:cNvCxnSpPr/>
      </xdr:nvCxnSpPr>
      <xdr:spPr>
        <a:xfrm>
          <a:off x="2971800" y="3138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18</xdr:row>
      <xdr:rowOff>80963</xdr:rowOff>
    </xdr:from>
    <xdr:to>
      <xdr:col>10</xdr:col>
      <xdr:colOff>152400</xdr:colOff>
      <xdr:row>20</xdr:row>
      <xdr:rowOff>11113</xdr:rowOff>
    </xdr:to>
    <xdr:cxnSp macro="">
      <xdr:nvCxnSpPr>
        <xdr:cNvPr id="1178" name="Straight Arrow Connector 1177">
          <a:extLst>
            <a:ext uri="{FF2B5EF4-FFF2-40B4-BE49-F238E27FC236}">
              <a16:creationId xmlns:a16="http://schemas.microsoft.com/office/drawing/2014/main" id="{00000000-0008-0000-0000-00009A040000}"/>
            </a:ext>
          </a:extLst>
        </xdr:cNvPr>
        <xdr:cNvCxnSpPr/>
      </xdr:nvCxnSpPr>
      <xdr:spPr>
        <a:xfrm>
          <a:off x="3276600" y="3138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152400</xdr:colOff>
      <xdr:row>18</xdr:row>
      <xdr:rowOff>80963</xdr:rowOff>
    </xdr:from>
    <xdr:to>
      <xdr:col>12</xdr:col>
      <xdr:colOff>5281</xdr:colOff>
      <xdr:row>19</xdr:row>
      <xdr:rowOff>118168</xdr:rowOff>
    </xdr:to>
    <xdr:cxnSp macro="">
      <xdr:nvCxnSpPr>
        <xdr:cNvPr id="1179" name="Straight Arrow Connector 1178">
          <a:extLst>
            <a:ext uri="{FF2B5EF4-FFF2-40B4-BE49-F238E27FC236}">
              <a16:creationId xmlns:a16="http://schemas.microsoft.com/office/drawing/2014/main" id="{00000000-0008-0000-0000-00009B040000}"/>
            </a:ext>
          </a:extLst>
        </xdr:cNvPr>
        <xdr:cNvCxnSpPr/>
      </xdr:nvCxnSpPr>
      <xdr:spPr>
        <a:xfrm>
          <a:off x="3581400" y="3138488"/>
          <a:ext cx="157681" cy="19913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18</xdr:row>
      <xdr:rowOff>80963</xdr:rowOff>
    </xdr:from>
    <xdr:to>
      <xdr:col>13</xdr:col>
      <xdr:colOff>96120</xdr:colOff>
      <xdr:row>18</xdr:row>
      <xdr:rowOff>133437</xdr:rowOff>
    </xdr:to>
    <xdr:cxnSp macro="">
      <xdr:nvCxnSpPr>
        <xdr:cNvPr id="1180" name="Straight Arrow Connector 1179">
          <a:extLst>
            <a:ext uri="{FF2B5EF4-FFF2-40B4-BE49-F238E27FC236}">
              <a16:creationId xmlns:a16="http://schemas.microsoft.com/office/drawing/2014/main" id="{00000000-0008-0000-0000-00009C040000}"/>
            </a:ext>
          </a:extLst>
        </xdr:cNvPr>
        <xdr:cNvCxnSpPr/>
      </xdr:nvCxnSpPr>
      <xdr:spPr>
        <a:xfrm>
          <a:off x="3886200" y="3138488"/>
          <a:ext cx="248520" cy="5247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152400</xdr:colOff>
      <xdr:row>18</xdr:row>
      <xdr:rowOff>80963</xdr:rowOff>
    </xdr:from>
    <xdr:to>
      <xdr:col>14</xdr:col>
      <xdr:colOff>100399</xdr:colOff>
      <xdr:row>18</xdr:row>
      <xdr:rowOff>105636</xdr:rowOff>
    </xdr:to>
    <xdr:cxnSp macro="">
      <xdr:nvCxnSpPr>
        <xdr:cNvPr id="1181" name="Straight Arrow Connector 1180">
          <a:extLst>
            <a:ext uri="{FF2B5EF4-FFF2-40B4-BE49-F238E27FC236}">
              <a16:creationId xmlns:a16="http://schemas.microsoft.com/office/drawing/2014/main" id="{00000000-0008-0000-0000-00009D040000}"/>
            </a:ext>
          </a:extLst>
        </xdr:cNvPr>
        <xdr:cNvCxnSpPr/>
      </xdr:nvCxnSpPr>
      <xdr:spPr>
        <a:xfrm>
          <a:off x="4191000" y="3138488"/>
          <a:ext cx="252799" cy="2467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152400</xdr:colOff>
      <xdr:row>18</xdr:row>
      <xdr:rowOff>80963</xdr:rowOff>
    </xdr:from>
    <xdr:to>
      <xdr:col>15</xdr:col>
      <xdr:colOff>101360</xdr:colOff>
      <xdr:row>18</xdr:row>
      <xdr:rowOff>91995</xdr:rowOff>
    </xdr:to>
    <xdr:cxnSp macro="">
      <xdr:nvCxnSpPr>
        <xdr:cNvPr id="1182" name="Straight Arrow Connector 1181">
          <a:extLst>
            <a:ext uri="{FF2B5EF4-FFF2-40B4-BE49-F238E27FC236}">
              <a16:creationId xmlns:a16="http://schemas.microsoft.com/office/drawing/2014/main" id="{00000000-0008-0000-0000-00009E040000}"/>
            </a:ext>
          </a:extLst>
        </xdr:cNvPr>
        <xdr:cNvCxnSpPr/>
      </xdr:nvCxnSpPr>
      <xdr:spPr>
        <a:xfrm>
          <a:off x="4495800" y="3138488"/>
          <a:ext cx="253760" cy="1103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18</xdr:row>
      <xdr:rowOff>80963</xdr:rowOff>
    </xdr:from>
    <xdr:to>
      <xdr:col>16</xdr:col>
      <xdr:colOff>101564</xdr:colOff>
      <xdr:row>18</xdr:row>
      <xdr:rowOff>85276</xdr:rowOff>
    </xdr:to>
    <xdr:cxnSp macro="">
      <xdr:nvCxnSpPr>
        <xdr:cNvPr id="1183" name="Straight Arrow Connector 1182">
          <a:extLst>
            <a:ext uri="{FF2B5EF4-FFF2-40B4-BE49-F238E27FC236}">
              <a16:creationId xmlns:a16="http://schemas.microsoft.com/office/drawing/2014/main" id="{00000000-0008-0000-0000-00009F040000}"/>
            </a:ext>
          </a:extLst>
        </xdr:cNvPr>
        <xdr:cNvCxnSpPr/>
      </xdr:nvCxnSpPr>
      <xdr:spPr>
        <a:xfrm>
          <a:off x="4800600" y="3138488"/>
          <a:ext cx="253964" cy="431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18</xdr:row>
      <xdr:rowOff>80963</xdr:rowOff>
    </xdr:from>
    <xdr:to>
      <xdr:col>17</xdr:col>
      <xdr:colOff>101600</xdr:colOff>
      <xdr:row>18</xdr:row>
      <xdr:rowOff>80963</xdr:rowOff>
    </xdr:to>
    <xdr:cxnSp macro="">
      <xdr:nvCxnSpPr>
        <xdr:cNvPr id="1184" name="Straight Arrow Connector 1183">
          <a:extLst>
            <a:ext uri="{FF2B5EF4-FFF2-40B4-BE49-F238E27FC236}">
              <a16:creationId xmlns:a16="http://schemas.microsoft.com/office/drawing/2014/main" id="{00000000-0008-0000-0000-0000A0040000}"/>
            </a:ext>
          </a:extLst>
        </xdr:cNvPr>
        <xdr:cNvCxnSpPr/>
      </xdr:nvCxnSpPr>
      <xdr:spPr>
        <a:xfrm>
          <a:off x="5105400" y="3138488"/>
          <a:ext cx="254000" cy="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18</xdr:row>
      <xdr:rowOff>76649</xdr:rowOff>
    </xdr:from>
    <xdr:to>
      <xdr:col>18</xdr:col>
      <xdr:colOff>101564</xdr:colOff>
      <xdr:row>18</xdr:row>
      <xdr:rowOff>80963</xdr:rowOff>
    </xdr:to>
    <xdr:cxnSp macro="">
      <xdr:nvCxnSpPr>
        <xdr:cNvPr id="1185" name="Straight Arrow Connector 1184">
          <a:extLst>
            <a:ext uri="{FF2B5EF4-FFF2-40B4-BE49-F238E27FC236}">
              <a16:creationId xmlns:a16="http://schemas.microsoft.com/office/drawing/2014/main" id="{00000000-0008-0000-0000-0000A1040000}"/>
            </a:ext>
          </a:extLst>
        </xdr:cNvPr>
        <xdr:cNvCxnSpPr/>
      </xdr:nvCxnSpPr>
      <xdr:spPr>
        <a:xfrm flipV="1">
          <a:off x="5410200" y="3134174"/>
          <a:ext cx="253964" cy="431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152400</xdr:colOff>
      <xdr:row>18</xdr:row>
      <xdr:rowOff>69931</xdr:rowOff>
    </xdr:from>
    <xdr:to>
      <xdr:col>19</xdr:col>
      <xdr:colOff>101360</xdr:colOff>
      <xdr:row>18</xdr:row>
      <xdr:rowOff>80963</xdr:rowOff>
    </xdr:to>
    <xdr:cxnSp macro="">
      <xdr:nvCxnSpPr>
        <xdr:cNvPr id="1186" name="Straight Arrow Connector 1185">
          <a:extLst>
            <a:ext uri="{FF2B5EF4-FFF2-40B4-BE49-F238E27FC236}">
              <a16:creationId xmlns:a16="http://schemas.microsoft.com/office/drawing/2014/main" id="{00000000-0008-0000-0000-0000A2040000}"/>
            </a:ext>
          </a:extLst>
        </xdr:cNvPr>
        <xdr:cNvCxnSpPr/>
      </xdr:nvCxnSpPr>
      <xdr:spPr>
        <a:xfrm flipV="1">
          <a:off x="5715000" y="3127456"/>
          <a:ext cx="253760" cy="1103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152400</xdr:colOff>
      <xdr:row>18</xdr:row>
      <xdr:rowOff>56289</xdr:rowOff>
    </xdr:from>
    <xdr:to>
      <xdr:col>20</xdr:col>
      <xdr:colOff>100399</xdr:colOff>
      <xdr:row>18</xdr:row>
      <xdr:rowOff>80963</xdr:rowOff>
    </xdr:to>
    <xdr:cxnSp macro="">
      <xdr:nvCxnSpPr>
        <xdr:cNvPr id="1187" name="Straight Arrow Connector 1186">
          <a:extLst>
            <a:ext uri="{FF2B5EF4-FFF2-40B4-BE49-F238E27FC236}">
              <a16:creationId xmlns:a16="http://schemas.microsoft.com/office/drawing/2014/main" id="{00000000-0008-0000-0000-0000A3040000}"/>
            </a:ext>
          </a:extLst>
        </xdr:cNvPr>
        <xdr:cNvCxnSpPr/>
      </xdr:nvCxnSpPr>
      <xdr:spPr>
        <a:xfrm flipV="1">
          <a:off x="6019800" y="3113814"/>
          <a:ext cx="252799" cy="2467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18</xdr:row>
      <xdr:rowOff>28488</xdr:rowOff>
    </xdr:from>
    <xdr:to>
      <xdr:col>21</xdr:col>
      <xdr:colOff>96120</xdr:colOff>
      <xdr:row>18</xdr:row>
      <xdr:rowOff>80963</xdr:rowOff>
    </xdr:to>
    <xdr:cxnSp macro="">
      <xdr:nvCxnSpPr>
        <xdr:cNvPr id="1188" name="Straight Arrow Connector 1187">
          <a:extLst>
            <a:ext uri="{FF2B5EF4-FFF2-40B4-BE49-F238E27FC236}">
              <a16:creationId xmlns:a16="http://schemas.microsoft.com/office/drawing/2014/main" id="{00000000-0008-0000-0000-0000A4040000}"/>
            </a:ext>
          </a:extLst>
        </xdr:cNvPr>
        <xdr:cNvCxnSpPr/>
      </xdr:nvCxnSpPr>
      <xdr:spPr>
        <a:xfrm flipV="1">
          <a:off x="6324600" y="3086013"/>
          <a:ext cx="248520" cy="5247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17</xdr:row>
      <xdr:rowOff>43758</xdr:rowOff>
    </xdr:from>
    <xdr:to>
      <xdr:col>22</xdr:col>
      <xdr:colOff>5281</xdr:colOff>
      <xdr:row>18</xdr:row>
      <xdr:rowOff>80963</xdr:rowOff>
    </xdr:to>
    <xdr:cxnSp macro="">
      <xdr:nvCxnSpPr>
        <xdr:cNvPr id="1189" name="Straight Arrow Connector 1188">
          <a:extLst>
            <a:ext uri="{FF2B5EF4-FFF2-40B4-BE49-F238E27FC236}">
              <a16:creationId xmlns:a16="http://schemas.microsoft.com/office/drawing/2014/main" id="{00000000-0008-0000-0000-0000A5040000}"/>
            </a:ext>
          </a:extLst>
        </xdr:cNvPr>
        <xdr:cNvCxnSpPr/>
      </xdr:nvCxnSpPr>
      <xdr:spPr>
        <a:xfrm flipV="1">
          <a:off x="6629400" y="2939358"/>
          <a:ext cx="157681" cy="19913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16</xdr:row>
      <xdr:rowOff>150813</xdr:rowOff>
    </xdr:from>
    <xdr:to>
      <xdr:col>22</xdr:col>
      <xdr:colOff>152400</xdr:colOff>
      <xdr:row>18</xdr:row>
      <xdr:rowOff>80963</xdr:rowOff>
    </xdr:to>
    <xdr:cxnSp macro="">
      <xdr:nvCxnSpPr>
        <xdr:cNvPr id="1190" name="Straight Arrow Connector 1189">
          <a:extLst>
            <a:ext uri="{FF2B5EF4-FFF2-40B4-BE49-F238E27FC236}">
              <a16:creationId xmlns:a16="http://schemas.microsoft.com/office/drawing/2014/main" id="{00000000-0008-0000-0000-0000A6040000}"/>
            </a:ext>
          </a:extLst>
        </xdr:cNvPr>
        <xdr:cNvCxnSpPr/>
      </xdr:nvCxnSpPr>
      <xdr:spPr>
        <a:xfrm flipV="1">
          <a:off x="6934200" y="2884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152400</xdr:colOff>
      <xdr:row>16</xdr:row>
      <xdr:rowOff>150813</xdr:rowOff>
    </xdr:from>
    <xdr:to>
      <xdr:col>23</xdr:col>
      <xdr:colOff>152400</xdr:colOff>
      <xdr:row>18</xdr:row>
      <xdr:rowOff>80963</xdr:rowOff>
    </xdr:to>
    <xdr:cxnSp macro="">
      <xdr:nvCxnSpPr>
        <xdr:cNvPr id="1191" name="Straight Arrow Connector 1190">
          <a:extLst>
            <a:ext uri="{FF2B5EF4-FFF2-40B4-BE49-F238E27FC236}">
              <a16:creationId xmlns:a16="http://schemas.microsoft.com/office/drawing/2014/main" id="{00000000-0008-0000-0000-0000A7040000}"/>
            </a:ext>
          </a:extLst>
        </xdr:cNvPr>
        <xdr:cNvCxnSpPr/>
      </xdr:nvCxnSpPr>
      <xdr:spPr>
        <a:xfrm flipV="1">
          <a:off x="7239000" y="2884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16</xdr:row>
      <xdr:rowOff>150813</xdr:rowOff>
    </xdr:from>
    <xdr:to>
      <xdr:col>24</xdr:col>
      <xdr:colOff>152400</xdr:colOff>
      <xdr:row>18</xdr:row>
      <xdr:rowOff>80963</xdr:rowOff>
    </xdr:to>
    <xdr:cxnSp macro="">
      <xdr:nvCxnSpPr>
        <xdr:cNvPr id="1192" name="Straight Arrow Connector 1191">
          <a:extLst>
            <a:ext uri="{FF2B5EF4-FFF2-40B4-BE49-F238E27FC236}">
              <a16:creationId xmlns:a16="http://schemas.microsoft.com/office/drawing/2014/main" id="{00000000-0008-0000-0000-0000A8040000}"/>
            </a:ext>
          </a:extLst>
        </xdr:cNvPr>
        <xdr:cNvCxnSpPr/>
      </xdr:nvCxnSpPr>
      <xdr:spPr>
        <a:xfrm flipV="1">
          <a:off x="7543800" y="2884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16</xdr:row>
      <xdr:rowOff>150813</xdr:rowOff>
    </xdr:from>
    <xdr:to>
      <xdr:col>25</xdr:col>
      <xdr:colOff>152400</xdr:colOff>
      <xdr:row>18</xdr:row>
      <xdr:rowOff>80963</xdr:rowOff>
    </xdr:to>
    <xdr:cxnSp macro="">
      <xdr:nvCxnSpPr>
        <xdr:cNvPr id="1193" name="Straight Arrow Connector 1192">
          <a:extLst>
            <a:ext uri="{FF2B5EF4-FFF2-40B4-BE49-F238E27FC236}">
              <a16:creationId xmlns:a16="http://schemas.microsoft.com/office/drawing/2014/main" id="{00000000-0008-0000-0000-0000A9040000}"/>
            </a:ext>
          </a:extLst>
        </xdr:cNvPr>
        <xdr:cNvCxnSpPr/>
      </xdr:nvCxnSpPr>
      <xdr:spPr>
        <a:xfrm flipV="1">
          <a:off x="7848600" y="2884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152400</xdr:colOff>
      <xdr:row>16</xdr:row>
      <xdr:rowOff>150813</xdr:rowOff>
    </xdr:from>
    <xdr:to>
      <xdr:col>26</xdr:col>
      <xdr:colOff>152400</xdr:colOff>
      <xdr:row>18</xdr:row>
      <xdr:rowOff>80963</xdr:rowOff>
    </xdr:to>
    <xdr:cxnSp macro="">
      <xdr:nvCxnSpPr>
        <xdr:cNvPr id="1194" name="Straight Arrow Connector 1193">
          <a:extLst>
            <a:ext uri="{FF2B5EF4-FFF2-40B4-BE49-F238E27FC236}">
              <a16:creationId xmlns:a16="http://schemas.microsoft.com/office/drawing/2014/main" id="{00000000-0008-0000-0000-0000AA040000}"/>
            </a:ext>
          </a:extLst>
        </xdr:cNvPr>
        <xdr:cNvCxnSpPr/>
      </xdr:nvCxnSpPr>
      <xdr:spPr>
        <a:xfrm flipV="1">
          <a:off x="8153400" y="2884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152400</xdr:colOff>
      <xdr:row>16</xdr:row>
      <xdr:rowOff>150813</xdr:rowOff>
    </xdr:from>
    <xdr:to>
      <xdr:col>27</xdr:col>
      <xdr:colOff>152400</xdr:colOff>
      <xdr:row>18</xdr:row>
      <xdr:rowOff>80963</xdr:rowOff>
    </xdr:to>
    <xdr:cxnSp macro="">
      <xdr:nvCxnSpPr>
        <xdr:cNvPr id="1195" name="Straight Arrow Connector 1194">
          <a:extLst>
            <a:ext uri="{FF2B5EF4-FFF2-40B4-BE49-F238E27FC236}">
              <a16:creationId xmlns:a16="http://schemas.microsoft.com/office/drawing/2014/main" id="{00000000-0008-0000-0000-0000AB040000}"/>
            </a:ext>
          </a:extLst>
        </xdr:cNvPr>
        <xdr:cNvCxnSpPr/>
      </xdr:nvCxnSpPr>
      <xdr:spPr>
        <a:xfrm flipV="1">
          <a:off x="8458200" y="2884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152400</xdr:colOff>
      <xdr:row>16</xdr:row>
      <xdr:rowOff>150813</xdr:rowOff>
    </xdr:from>
    <xdr:to>
      <xdr:col>28</xdr:col>
      <xdr:colOff>152400</xdr:colOff>
      <xdr:row>18</xdr:row>
      <xdr:rowOff>80963</xdr:rowOff>
    </xdr:to>
    <xdr:cxnSp macro="">
      <xdr:nvCxnSpPr>
        <xdr:cNvPr id="1196" name="Straight Arrow Connector 1195">
          <a:extLst>
            <a:ext uri="{FF2B5EF4-FFF2-40B4-BE49-F238E27FC236}">
              <a16:creationId xmlns:a16="http://schemas.microsoft.com/office/drawing/2014/main" id="{00000000-0008-0000-0000-0000AC040000}"/>
            </a:ext>
          </a:extLst>
        </xdr:cNvPr>
        <xdr:cNvCxnSpPr/>
      </xdr:nvCxnSpPr>
      <xdr:spPr>
        <a:xfrm flipV="1">
          <a:off x="8763000" y="2884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152400</xdr:colOff>
      <xdr:row>16</xdr:row>
      <xdr:rowOff>150813</xdr:rowOff>
    </xdr:from>
    <xdr:to>
      <xdr:col>29</xdr:col>
      <xdr:colOff>152400</xdr:colOff>
      <xdr:row>18</xdr:row>
      <xdr:rowOff>80963</xdr:rowOff>
    </xdr:to>
    <xdr:cxnSp macro="">
      <xdr:nvCxnSpPr>
        <xdr:cNvPr id="1197" name="Straight Arrow Connector 1196">
          <a:extLst>
            <a:ext uri="{FF2B5EF4-FFF2-40B4-BE49-F238E27FC236}">
              <a16:creationId xmlns:a16="http://schemas.microsoft.com/office/drawing/2014/main" id="{00000000-0008-0000-0000-0000AD040000}"/>
            </a:ext>
          </a:extLst>
        </xdr:cNvPr>
        <xdr:cNvCxnSpPr/>
      </xdr:nvCxnSpPr>
      <xdr:spPr>
        <a:xfrm flipV="1">
          <a:off x="9067800" y="2884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152400</xdr:colOff>
      <xdr:row>16</xdr:row>
      <xdr:rowOff>150813</xdr:rowOff>
    </xdr:from>
    <xdr:to>
      <xdr:col>30</xdr:col>
      <xdr:colOff>152400</xdr:colOff>
      <xdr:row>18</xdr:row>
      <xdr:rowOff>80963</xdr:rowOff>
    </xdr:to>
    <xdr:cxnSp macro="">
      <xdr:nvCxnSpPr>
        <xdr:cNvPr id="1198" name="Straight Arrow Connector 1197">
          <a:extLst>
            <a:ext uri="{FF2B5EF4-FFF2-40B4-BE49-F238E27FC236}">
              <a16:creationId xmlns:a16="http://schemas.microsoft.com/office/drawing/2014/main" id="{00000000-0008-0000-0000-0000AE040000}"/>
            </a:ext>
          </a:extLst>
        </xdr:cNvPr>
        <xdr:cNvCxnSpPr/>
      </xdr:nvCxnSpPr>
      <xdr:spPr>
        <a:xfrm flipV="1">
          <a:off x="9372600" y="2884488"/>
          <a:ext cx="0" cy="2540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19</xdr:row>
      <xdr:rowOff>80963</xdr:rowOff>
    </xdr:from>
    <xdr:to>
      <xdr:col>3</xdr:col>
      <xdr:colOff>101596</xdr:colOff>
      <xdr:row>19</xdr:row>
      <xdr:rowOff>82367</xdr:rowOff>
    </xdr:to>
    <xdr:cxnSp macro="">
      <xdr:nvCxnSpPr>
        <xdr:cNvPr id="1199" name="Straight Arrow Connector 1198">
          <a:extLst>
            <a:ext uri="{FF2B5EF4-FFF2-40B4-BE49-F238E27FC236}">
              <a16:creationId xmlns:a16="http://schemas.microsoft.com/office/drawing/2014/main" id="{00000000-0008-0000-0000-0000AF040000}"/>
            </a:ext>
          </a:extLst>
        </xdr:cNvPr>
        <xdr:cNvCxnSpPr/>
      </xdr:nvCxnSpPr>
      <xdr:spPr>
        <a:xfrm>
          <a:off x="838200" y="3300413"/>
          <a:ext cx="253996" cy="140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152400</xdr:colOff>
      <xdr:row>19</xdr:row>
      <xdr:rowOff>80963</xdr:rowOff>
    </xdr:from>
    <xdr:to>
      <xdr:col>3</xdr:col>
      <xdr:colOff>187447</xdr:colOff>
      <xdr:row>21</xdr:row>
      <xdr:rowOff>8683</xdr:rowOff>
    </xdr:to>
    <xdr:cxnSp macro="">
      <xdr:nvCxnSpPr>
        <xdr:cNvPr id="1200" name="Straight Arrow Connector 1199">
          <a:extLst>
            <a:ext uri="{FF2B5EF4-FFF2-40B4-BE49-F238E27FC236}">
              <a16:creationId xmlns:a16="http://schemas.microsoft.com/office/drawing/2014/main" id="{00000000-0008-0000-0000-0000B0040000}"/>
            </a:ext>
          </a:extLst>
        </xdr:cNvPr>
        <xdr:cNvCxnSpPr/>
      </xdr:nvCxnSpPr>
      <xdr:spPr>
        <a:xfrm>
          <a:off x="1143000" y="3300413"/>
          <a:ext cx="35047" cy="25157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152400</xdr:colOff>
      <xdr:row>19</xdr:row>
      <xdr:rowOff>80963</xdr:rowOff>
    </xdr:from>
    <xdr:to>
      <xdr:col>4</xdr:col>
      <xdr:colOff>217167</xdr:colOff>
      <xdr:row>21</xdr:row>
      <xdr:rowOff>2716</xdr:rowOff>
    </xdr:to>
    <xdr:cxnSp macro="">
      <xdr:nvCxnSpPr>
        <xdr:cNvPr id="1201" name="Straight Arrow Connector 1200">
          <a:extLst>
            <a:ext uri="{FF2B5EF4-FFF2-40B4-BE49-F238E27FC236}">
              <a16:creationId xmlns:a16="http://schemas.microsoft.com/office/drawing/2014/main" id="{00000000-0008-0000-0000-0000B1040000}"/>
            </a:ext>
          </a:extLst>
        </xdr:cNvPr>
        <xdr:cNvCxnSpPr/>
      </xdr:nvCxnSpPr>
      <xdr:spPr>
        <a:xfrm>
          <a:off x="1447800" y="3300413"/>
          <a:ext cx="64767" cy="24560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19</xdr:row>
      <xdr:rowOff>80963</xdr:rowOff>
    </xdr:from>
    <xdr:to>
      <xdr:col>5</xdr:col>
      <xdr:colOff>239662</xdr:colOff>
      <xdr:row>20</xdr:row>
      <xdr:rowOff>157578</xdr:rowOff>
    </xdr:to>
    <xdr:cxnSp macro="">
      <xdr:nvCxnSpPr>
        <xdr:cNvPr id="1202" name="Straight Arrow Connector 1201">
          <a:extLst>
            <a:ext uri="{FF2B5EF4-FFF2-40B4-BE49-F238E27FC236}">
              <a16:creationId xmlns:a16="http://schemas.microsoft.com/office/drawing/2014/main" id="{00000000-0008-0000-0000-0000B2040000}"/>
            </a:ext>
          </a:extLst>
        </xdr:cNvPr>
        <xdr:cNvCxnSpPr/>
      </xdr:nvCxnSpPr>
      <xdr:spPr>
        <a:xfrm>
          <a:off x="1752600" y="3300413"/>
          <a:ext cx="87262" cy="23854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19</xdr:row>
      <xdr:rowOff>80963</xdr:rowOff>
    </xdr:from>
    <xdr:to>
      <xdr:col>6</xdr:col>
      <xdr:colOff>256237</xdr:colOff>
      <xdr:row>20</xdr:row>
      <xdr:rowOff>150843</xdr:rowOff>
    </xdr:to>
    <xdr:cxnSp macro="">
      <xdr:nvCxnSpPr>
        <xdr:cNvPr id="1203" name="Straight Arrow Connector 1202">
          <a:extLst>
            <a:ext uri="{FF2B5EF4-FFF2-40B4-BE49-F238E27FC236}">
              <a16:creationId xmlns:a16="http://schemas.microsoft.com/office/drawing/2014/main" id="{00000000-0008-0000-0000-0000B3040000}"/>
            </a:ext>
          </a:extLst>
        </xdr:cNvPr>
        <xdr:cNvCxnSpPr/>
      </xdr:nvCxnSpPr>
      <xdr:spPr>
        <a:xfrm>
          <a:off x="2057400" y="3300413"/>
          <a:ext cx="103837" cy="23180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152400</xdr:colOff>
      <xdr:row>19</xdr:row>
      <xdr:rowOff>80963</xdr:rowOff>
    </xdr:from>
    <xdr:to>
      <xdr:col>7</xdr:col>
      <xdr:colOff>269597</xdr:colOff>
      <xdr:row>20</xdr:row>
      <xdr:rowOff>144384</xdr:rowOff>
    </xdr:to>
    <xdr:cxnSp macro="">
      <xdr:nvCxnSpPr>
        <xdr:cNvPr id="1204" name="Straight Arrow Connector 1203">
          <a:extLst>
            <a:ext uri="{FF2B5EF4-FFF2-40B4-BE49-F238E27FC236}">
              <a16:creationId xmlns:a16="http://schemas.microsoft.com/office/drawing/2014/main" id="{00000000-0008-0000-0000-0000B4040000}"/>
            </a:ext>
          </a:extLst>
        </xdr:cNvPr>
        <xdr:cNvCxnSpPr/>
      </xdr:nvCxnSpPr>
      <xdr:spPr>
        <a:xfrm>
          <a:off x="2362200" y="3300413"/>
          <a:ext cx="117197" cy="22534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152400</xdr:colOff>
      <xdr:row>19</xdr:row>
      <xdr:rowOff>80963</xdr:rowOff>
    </xdr:from>
    <xdr:to>
      <xdr:col>8</xdr:col>
      <xdr:colOff>282867</xdr:colOff>
      <xdr:row>20</xdr:row>
      <xdr:rowOff>136970</xdr:rowOff>
    </xdr:to>
    <xdr:cxnSp macro="">
      <xdr:nvCxnSpPr>
        <xdr:cNvPr id="1205" name="Straight Arrow Connector 1204">
          <a:extLst>
            <a:ext uri="{FF2B5EF4-FFF2-40B4-BE49-F238E27FC236}">
              <a16:creationId xmlns:a16="http://schemas.microsoft.com/office/drawing/2014/main" id="{00000000-0008-0000-0000-0000B5040000}"/>
            </a:ext>
          </a:extLst>
        </xdr:cNvPr>
        <xdr:cNvCxnSpPr/>
      </xdr:nvCxnSpPr>
      <xdr:spPr>
        <a:xfrm>
          <a:off x="2667000" y="3300413"/>
          <a:ext cx="130467" cy="21793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19</xdr:row>
      <xdr:rowOff>80963</xdr:rowOff>
    </xdr:from>
    <xdr:to>
      <xdr:col>9</xdr:col>
      <xdr:colOff>299430</xdr:colOff>
      <xdr:row>20</xdr:row>
      <xdr:rowOff>126157</xdr:rowOff>
    </xdr:to>
    <xdr:cxnSp macro="">
      <xdr:nvCxnSpPr>
        <xdr:cNvPr id="1206" name="Straight Arrow Connector 1205">
          <a:extLst>
            <a:ext uri="{FF2B5EF4-FFF2-40B4-BE49-F238E27FC236}">
              <a16:creationId xmlns:a16="http://schemas.microsoft.com/office/drawing/2014/main" id="{00000000-0008-0000-0000-0000B6040000}"/>
            </a:ext>
          </a:extLst>
        </xdr:cNvPr>
        <xdr:cNvCxnSpPr/>
      </xdr:nvCxnSpPr>
      <xdr:spPr>
        <a:xfrm>
          <a:off x="2971800" y="3300413"/>
          <a:ext cx="147030" cy="20711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19</xdr:row>
      <xdr:rowOff>80963</xdr:rowOff>
    </xdr:from>
    <xdr:to>
      <xdr:col>11</xdr:col>
      <xdr:colOff>17309</xdr:colOff>
      <xdr:row>20</xdr:row>
      <xdr:rowOff>108021</xdr:rowOff>
    </xdr:to>
    <xdr:cxnSp macro="">
      <xdr:nvCxnSpPr>
        <xdr:cNvPr id="1207" name="Straight Arrow Connector 1206">
          <a:extLst>
            <a:ext uri="{FF2B5EF4-FFF2-40B4-BE49-F238E27FC236}">
              <a16:creationId xmlns:a16="http://schemas.microsoft.com/office/drawing/2014/main" id="{00000000-0008-0000-0000-0000B7040000}"/>
            </a:ext>
          </a:extLst>
        </xdr:cNvPr>
        <xdr:cNvCxnSpPr/>
      </xdr:nvCxnSpPr>
      <xdr:spPr>
        <a:xfrm>
          <a:off x="3276600" y="3300413"/>
          <a:ext cx="169709" cy="18898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152400</xdr:colOff>
      <xdr:row>19</xdr:row>
      <xdr:rowOff>80963</xdr:rowOff>
    </xdr:from>
    <xdr:to>
      <xdr:col>12</xdr:col>
      <xdr:colOff>44753</xdr:colOff>
      <xdr:row>20</xdr:row>
      <xdr:rowOff>79184</xdr:rowOff>
    </xdr:to>
    <xdr:cxnSp macro="">
      <xdr:nvCxnSpPr>
        <xdr:cNvPr id="1208" name="Straight Arrow Connector 1207">
          <a:extLst>
            <a:ext uri="{FF2B5EF4-FFF2-40B4-BE49-F238E27FC236}">
              <a16:creationId xmlns:a16="http://schemas.microsoft.com/office/drawing/2014/main" id="{00000000-0008-0000-0000-0000B8040000}"/>
            </a:ext>
          </a:extLst>
        </xdr:cNvPr>
        <xdr:cNvCxnSpPr/>
      </xdr:nvCxnSpPr>
      <xdr:spPr>
        <a:xfrm>
          <a:off x="3581400" y="3300413"/>
          <a:ext cx="197153" cy="16014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19</xdr:row>
      <xdr:rowOff>80963</xdr:rowOff>
    </xdr:from>
    <xdr:to>
      <xdr:col>13</xdr:col>
      <xdr:colOff>98341</xdr:colOff>
      <xdr:row>19</xdr:row>
      <xdr:rowOff>121520</xdr:rowOff>
    </xdr:to>
    <xdr:cxnSp macro="">
      <xdr:nvCxnSpPr>
        <xdr:cNvPr id="1209" name="Straight Arrow Connector 1208">
          <a:extLst>
            <a:ext uri="{FF2B5EF4-FFF2-40B4-BE49-F238E27FC236}">
              <a16:creationId xmlns:a16="http://schemas.microsoft.com/office/drawing/2014/main" id="{00000000-0008-0000-0000-0000B9040000}"/>
            </a:ext>
          </a:extLst>
        </xdr:cNvPr>
        <xdr:cNvCxnSpPr/>
      </xdr:nvCxnSpPr>
      <xdr:spPr>
        <a:xfrm>
          <a:off x="3886200" y="3300413"/>
          <a:ext cx="250741" cy="4055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152400</xdr:colOff>
      <xdr:row>19</xdr:row>
      <xdr:rowOff>80963</xdr:rowOff>
    </xdr:from>
    <xdr:to>
      <xdr:col>14</xdr:col>
      <xdr:colOff>101203</xdr:colOff>
      <xdr:row>19</xdr:row>
      <xdr:rowOff>95157</xdr:rowOff>
    </xdr:to>
    <xdr:cxnSp macro="">
      <xdr:nvCxnSpPr>
        <xdr:cNvPr id="1210" name="Straight Arrow Connector 1209">
          <a:extLst>
            <a:ext uri="{FF2B5EF4-FFF2-40B4-BE49-F238E27FC236}">
              <a16:creationId xmlns:a16="http://schemas.microsoft.com/office/drawing/2014/main" id="{00000000-0008-0000-0000-0000BA040000}"/>
            </a:ext>
          </a:extLst>
        </xdr:cNvPr>
        <xdr:cNvCxnSpPr/>
      </xdr:nvCxnSpPr>
      <xdr:spPr>
        <a:xfrm>
          <a:off x="4191000" y="3300413"/>
          <a:ext cx="253603" cy="1419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152400</xdr:colOff>
      <xdr:row>19</xdr:row>
      <xdr:rowOff>80963</xdr:rowOff>
    </xdr:from>
    <xdr:to>
      <xdr:col>15</xdr:col>
      <xdr:colOff>101534</xdr:colOff>
      <xdr:row>19</xdr:row>
      <xdr:rowOff>86763</xdr:rowOff>
    </xdr:to>
    <xdr:cxnSp macro="">
      <xdr:nvCxnSpPr>
        <xdr:cNvPr id="1211" name="Straight Arrow Connector 1210">
          <a:extLst>
            <a:ext uri="{FF2B5EF4-FFF2-40B4-BE49-F238E27FC236}">
              <a16:creationId xmlns:a16="http://schemas.microsoft.com/office/drawing/2014/main" id="{00000000-0008-0000-0000-0000BB040000}"/>
            </a:ext>
          </a:extLst>
        </xdr:cNvPr>
        <xdr:cNvCxnSpPr/>
      </xdr:nvCxnSpPr>
      <xdr:spPr>
        <a:xfrm>
          <a:off x="4495800" y="3300413"/>
          <a:ext cx="253934" cy="58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19</xdr:row>
      <xdr:rowOff>80963</xdr:rowOff>
    </xdr:from>
    <xdr:to>
      <xdr:col>16</xdr:col>
      <xdr:colOff>101590</xdr:colOff>
      <xdr:row>19</xdr:row>
      <xdr:rowOff>83170</xdr:rowOff>
    </xdr:to>
    <xdr:cxnSp macro="">
      <xdr:nvCxnSpPr>
        <xdr:cNvPr id="1212" name="Straight Arrow Connector 1211">
          <a:extLst>
            <a:ext uri="{FF2B5EF4-FFF2-40B4-BE49-F238E27FC236}">
              <a16:creationId xmlns:a16="http://schemas.microsoft.com/office/drawing/2014/main" id="{00000000-0008-0000-0000-0000BC040000}"/>
            </a:ext>
          </a:extLst>
        </xdr:cNvPr>
        <xdr:cNvCxnSpPr/>
      </xdr:nvCxnSpPr>
      <xdr:spPr>
        <a:xfrm>
          <a:off x="4800600" y="3300413"/>
          <a:ext cx="253990" cy="220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19</xdr:row>
      <xdr:rowOff>80963</xdr:rowOff>
    </xdr:from>
    <xdr:to>
      <xdr:col>17</xdr:col>
      <xdr:colOff>101600</xdr:colOff>
      <xdr:row>19</xdr:row>
      <xdr:rowOff>80963</xdr:rowOff>
    </xdr:to>
    <xdr:cxnSp macro="">
      <xdr:nvCxnSpPr>
        <xdr:cNvPr id="1213" name="Straight Arrow Connector 1212">
          <a:extLst>
            <a:ext uri="{FF2B5EF4-FFF2-40B4-BE49-F238E27FC236}">
              <a16:creationId xmlns:a16="http://schemas.microsoft.com/office/drawing/2014/main" id="{00000000-0008-0000-0000-0000BD040000}"/>
            </a:ext>
          </a:extLst>
        </xdr:cNvPr>
        <xdr:cNvCxnSpPr/>
      </xdr:nvCxnSpPr>
      <xdr:spPr>
        <a:xfrm>
          <a:off x="5105400" y="3300413"/>
          <a:ext cx="254000" cy="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19</xdr:row>
      <xdr:rowOff>78754</xdr:rowOff>
    </xdr:from>
    <xdr:to>
      <xdr:col>18</xdr:col>
      <xdr:colOff>101590</xdr:colOff>
      <xdr:row>19</xdr:row>
      <xdr:rowOff>80963</xdr:rowOff>
    </xdr:to>
    <xdr:cxnSp macro="">
      <xdr:nvCxnSpPr>
        <xdr:cNvPr id="1214" name="Straight Arrow Connector 1213">
          <a:extLst>
            <a:ext uri="{FF2B5EF4-FFF2-40B4-BE49-F238E27FC236}">
              <a16:creationId xmlns:a16="http://schemas.microsoft.com/office/drawing/2014/main" id="{00000000-0008-0000-0000-0000BE040000}"/>
            </a:ext>
          </a:extLst>
        </xdr:cNvPr>
        <xdr:cNvCxnSpPr/>
      </xdr:nvCxnSpPr>
      <xdr:spPr>
        <a:xfrm flipV="1">
          <a:off x="5410200" y="3298204"/>
          <a:ext cx="253990" cy="220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152400</xdr:colOff>
      <xdr:row>19</xdr:row>
      <xdr:rowOff>75162</xdr:rowOff>
    </xdr:from>
    <xdr:to>
      <xdr:col>19</xdr:col>
      <xdr:colOff>101534</xdr:colOff>
      <xdr:row>19</xdr:row>
      <xdr:rowOff>80963</xdr:rowOff>
    </xdr:to>
    <xdr:cxnSp macro="">
      <xdr:nvCxnSpPr>
        <xdr:cNvPr id="1215" name="Straight Arrow Connector 1214">
          <a:extLst>
            <a:ext uri="{FF2B5EF4-FFF2-40B4-BE49-F238E27FC236}">
              <a16:creationId xmlns:a16="http://schemas.microsoft.com/office/drawing/2014/main" id="{00000000-0008-0000-0000-0000BF040000}"/>
            </a:ext>
          </a:extLst>
        </xdr:cNvPr>
        <xdr:cNvCxnSpPr/>
      </xdr:nvCxnSpPr>
      <xdr:spPr>
        <a:xfrm flipV="1">
          <a:off x="5715000" y="3294612"/>
          <a:ext cx="253934" cy="580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152400</xdr:colOff>
      <xdr:row>19</xdr:row>
      <xdr:rowOff>66768</xdr:rowOff>
    </xdr:from>
    <xdr:to>
      <xdr:col>20</xdr:col>
      <xdr:colOff>101203</xdr:colOff>
      <xdr:row>19</xdr:row>
      <xdr:rowOff>80963</xdr:rowOff>
    </xdr:to>
    <xdr:cxnSp macro="">
      <xdr:nvCxnSpPr>
        <xdr:cNvPr id="1216" name="Straight Arrow Connector 1215">
          <a:extLst>
            <a:ext uri="{FF2B5EF4-FFF2-40B4-BE49-F238E27FC236}">
              <a16:creationId xmlns:a16="http://schemas.microsoft.com/office/drawing/2014/main" id="{00000000-0008-0000-0000-0000C0040000}"/>
            </a:ext>
          </a:extLst>
        </xdr:cNvPr>
        <xdr:cNvCxnSpPr/>
      </xdr:nvCxnSpPr>
      <xdr:spPr>
        <a:xfrm flipV="1">
          <a:off x="6019800" y="3286218"/>
          <a:ext cx="253603" cy="1419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19</xdr:row>
      <xdr:rowOff>40405</xdr:rowOff>
    </xdr:from>
    <xdr:to>
      <xdr:col>21</xdr:col>
      <xdr:colOff>98341</xdr:colOff>
      <xdr:row>19</xdr:row>
      <xdr:rowOff>80963</xdr:rowOff>
    </xdr:to>
    <xdr:cxnSp macro="">
      <xdr:nvCxnSpPr>
        <xdr:cNvPr id="1217" name="Straight Arrow Connector 1216">
          <a:extLst>
            <a:ext uri="{FF2B5EF4-FFF2-40B4-BE49-F238E27FC236}">
              <a16:creationId xmlns:a16="http://schemas.microsoft.com/office/drawing/2014/main" id="{00000000-0008-0000-0000-0000C1040000}"/>
            </a:ext>
          </a:extLst>
        </xdr:cNvPr>
        <xdr:cNvCxnSpPr/>
      </xdr:nvCxnSpPr>
      <xdr:spPr>
        <a:xfrm flipV="1">
          <a:off x="6324600" y="3259855"/>
          <a:ext cx="250741" cy="4055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18</xdr:row>
      <xdr:rowOff>82742</xdr:rowOff>
    </xdr:from>
    <xdr:to>
      <xdr:col>22</xdr:col>
      <xdr:colOff>44753</xdr:colOff>
      <xdr:row>19</xdr:row>
      <xdr:rowOff>80963</xdr:rowOff>
    </xdr:to>
    <xdr:cxnSp macro="">
      <xdr:nvCxnSpPr>
        <xdr:cNvPr id="1218" name="Straight Arrow Connector 1217">
          <a:extLst>
            <a:ext uri="{FF2B5EF4-FFF2-40B4-BE49-F238E27FC236}">
              <a16:creationId xmlns:a16="http://schemas.microsoft.com/office/drawing/2014/main" id="{00000000-0008-0000-0000-0000C2040000}"/>
            </a:ext>
          </a:extLst>
        </xdr:cNvPr>
        <xdr:cNvCxnSpPr/>
      </xdr:nvCxnSpPr>
      <xdr:spPr>
        <a:xfrm flipV="1">
          <a:off x="6629400" y="3140267"/>
          <a:ext cx="197153" cy="16014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18</xdr:row>
      <xdr:rowOff>53905</xdr:rowOff>
    </xdr:from>
    <xdr:to>
      <xdr:col>23</xdr:col>
      <xdr:colOff>17311</xdr:colOff>
      <xdr:row>19</xdr:row>
      <xdr:rowOff>80963</xdr:rowOff>
    </xdr:to>
    <xdr:cxnSp macro="">
      <xdr:nvCxnSpPr>
        <xdr:cNvPr id="1219" name="Straight Arrow Connector 1218">
          <a:extLst>
            <a:ext uri="{FF2B5EF4-FFF2-40B4-BE49-F238E27FC236}">
              <a16:creationId xmlns:a16="http://schemas.microsoft.com/office/drawing/2014/main" id="{00000000-0008-0000-0000-0000C3040000}"/>
            </a:ext>
          </a:extLst>
        </xdr:cNvPr>
        <xdr:cNvCxnSpPr/>
      </xdr:nvCxnSpPr>
      <xdr:spPr>
        <a:xfrm flipV="1">
          <a:off x="6934200" y="3111430"/>
          <a:ext cx="169711" cy="18898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152400</xdr:colOff>
      <xdr:row>18</xdr:row>
      <xdr:rowOff>35770</xdr:rowOff>
    </xdr:from>
    <xdr:to>
      <xdr:col>23</xdr:col>
      <xdr:colOff>299432</xdr:colOff>
      <xdr:row>19</xdr:row>
      <xdr:rowOff>80963</xdr:rowOff>
    </xdr:to>
    <xdr:cxnSp macro="">
      <xdr:nvCxnSpPr>
        <xdr:cNvPr id="1220" name="Straight Arrow Connector 1219">
          <a:extLst>
            <a:ext uri="{FF2B5EF4-FFF2-40B4-BE49-F238E27FC236}">
              <a16:creationId xmlns:a16="http://schemas.microsoft.com/office/drawing/2014/main" id="{00000000-0008-0000-0000-0000C4040000}"/>
            </a:ext>
          </a:extLst>
        </xdr:cNvPr>
        <xdr:cNvCxnSpPr/>
      </xdr:nvCxnSpPr>
      <xdr:spPr>
        <a:xfrm flipV="1">
          <a:off x="7239000" y="3093295"/>
          <a:ext cx="147032" cy="20711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18</xdr:row>
      <xdr:rowOff>24957</xdr:rowOff>
    </xdr:from>
    <xdr:to>
      <xdr:col>24</xdr:col>
      <xdr:colOff>282870</xdr:colOff>
      <xdr:row>19</xdr:row>
      <xdr:rowOff>80963</xdr:rowOff>
    </xdr:to>
    <xdr:cxnSp macro="">
      <xdr:nvCxnSpPr>
        <xdr:cNvPr id="1221" name="Straight Arrow Connector 1220">
          <a:extLst>
            <a:ext uri="{FF2B5EF4-FFF2-40B4-BE49-F238E27FC236}">
              <a16:creationId xmlns:a16="http://schemas.microsoft.com/office/drawing/2014/main" id="{00000000-0008-0000-0000-0000C5040000}"/>
            </a:ext>
          </a:extLst>
        </xdr:cNvPr>
        <xdr:cNvCxnSpPr/>
      </xdr:nvCxnSpPr>
      <xdr:spPr>
        <a:xfrm flipV="1">
          <a:off x="7543800" y="3082482"/>
          <a:ext cx="130470" cy="21793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18</xdr:row>
      <xdr:rowOff>17543</xdr:rowOff>
    </xdr:from>
    <xdr:to>
      <xdr:col>25</xdr:col>
      <xdr:colOff>269601</xdr:colOff>
      <xdr:row>19</xdr:row>
      <xdr:rowOff>80963</xdr:rowOff>
    </xdr:to>
    <xdr:cxnSp macro="">
      <xdr:nvCxnSpPr>
        <xdr:cNvPr id="1222" name="Straight Arrow Connector 1221">
          <a:extLst>
            <a:ext uri="{FF2B5EF4-FFF2-40B4-BE49-F238E27FC236}">
              <a16:creationId xmlns:a16="http://schemas.microsoft.com/office/drawing/2014/main" id="{00000000-0008-0000-0000-0000C6040000}"/>
            </a:ext>
          </a:extLst>
        </xdr:cNvPr>
        <xdr:cNvCxnSpPr/>
      </xdr:nvCxnSpPr>
      <xdr:spPr>
        <a:xfrm flipV="1">
          <a:off x="7848600" y="3075068"/>
          <a:ext cx="117201" cy="22534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152400</xdr:colOff>
      <xdr:row>18</xdr:row>
      <xdr:rowOff>11084</xdr:rowOff>
    </xdr:from>
    <xdr:to>
      <xdr:col>26</xdr:col>
      <xdr:colOff>256242</xdr:colOff>
      <xdr:row>19</xdr:row>
      <xdr:rowOff>80963</xdr:rowOff>
    </xdr:to>
    <xdr:cxnSp macro="">
      <xdr:nvCxnSpPr>
        <xdr:cNvPr id="1223" name="Straight Arrow Connector 1222">
          <a:extLst>
            <a:ext uri="{FF2B5EF4-FFF2-40B4-BE49-F238E27FC236}">
              <a16:creationId xmlns:a16="http://schemas.microsoft.com/office/drawing/2014/main" id="{00000000-0008-0000-0000-0000C7040000}"/>
            </a:ext>
          </a:extLst>
        </xdr:cNvPr>
        <xdr:cNvCxnSpPr/>
      </xdr:nvCxnSpPr>
      <xdr:spPr>
        <a:xfrm flipV="1">
          <a:off x="8153400" y="3068609"/>
          <a:ext cx="103842" cy="23180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152400</xdr:colOff>
      <xdr:row>18</xdr:row>
      <xdr:rowOff>4349</xdr:rowOff>
    </xdr:from>
    <xdr:to>
      <xdr:col>27</xdr:col>
      <xdr:colOff>239667</xdr:colOff>
      <xdr:row>19</xdr:row>
      <xdr:rowOff>80963</xdr:rowOff>
    </xdr:to>
    <xdr:cxnSp macro="">
      <xdr:nvCxnSpPr>
        <xdr:cNvPr id="1224" name="Straight Arrow Connector 1223">
          <a:extLst>
            <a:ext uri="{FF2B5EF4-FFF2-40B4-BE49-F238E27FC236}">
              <a16:creationId xmlns:a16="http://schemas.microsoft.com/office/drawing/2014/main" id="{00000000-0008-0000-0000-0000C8040000}"/>
            </a:ext>
          </a:extLst>
        </xdr:cNvPr>
        <xdr:cNvCxnSpPr/>
      </xdr:nvCxnSpPr>
      <xdr:spPr>
        <a:xfrm flipV="1">
          <a:off x="8458200" y="3061874"/>
          <a:ext cx="87267" cy="23853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152400</xdr:colOff>
      <xdr:row>17</xdr:row>
      <xdr:rowOff>159210</xdr:rowOff>
    </xdr:from>
    <xdr:to>
      <xdr:col>28</xdr:col>
      <xdr:colOff>217171</xdr:colOff>
      <xdr:row>19</xdr:row>
      <xdr:rowOff>80963</xdr:rowOff>
    </xdr:to>
    <xdr:cxnSp macro="">
      <xdr:nvCxnSpPr>
        <xdr:cNvPr id="1225" name="Straight Arrow Connector 1224">
          <a:extLst>
            <a:ext uri="{FF2B5EF4-FFF2-40B4-BE49-F238E27FC236}">
              <a16:creationId xmlns:a16="http://schemas.microsoft.com/office/drawing/2014/main" id="{00000000-0008-0000-0000-0000C9040000}"/>
            </a:ext>
          </a:extLst>
        </xdr:cNvPr>
        <xdr:cNvCxnSpPr/>
      </xdr:nvCxnSpPr>
      <xdr:spPr>
        <a:xfrm flipV="1">
          <a:off x="8763000" y="3054810"/>
          <a:ext cx="64771" cy="24560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152400</xdr:colOff>
      <xdr:row>17</xdr:row>
      <xdr:rowOff>153242</xdr:rowOff>
    </xdr:from>
    <xdr:to>
      <xdr:col>29</xdr:col>
      <xdr:colOff>187450</xdr:colOff>
      <xdr:row>19</xdr:row>
      <xdr:rowOff>80963</xdr:rowOff>
    </xdr:to>
    <xdr:cxnSp macro="">
      <xdr:nvCxnSpPr>
        <xdr:cNvPr id="1226" name="Straight Arrow Connector 1225">
          <a:extLst>
            <a:ext uri="{FF2B5EF4-FFF2-40B4-BE49-F238E27FC236}">
              <a16:creationId xmlns:a16="http://schemas.microsoft.com/office/drawing/2014/main" id="{00000000-0008-0000-0000-0000CA040000}"/>
            </a:ext>
          </a:extLst>
        </xdr:cNvPr>
        <xdr:cNvCxnSpPr/>
      </xdr:nvCxnSpPr>
      <xdr:spPr>
        <a:xfrm flipV="1">
          <a:off x="9067800" y="3048842"/>
          <a:ext cx="35050" cy="25157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152400</xdr:colOff>
      <xdr:row>17</xdr:row>
      <xdr:rowOff>151442</xdr:rowOff>
    </xdr:from>
    <xdr:to>
      <xdr:col>30</xdr:col>
      <xdr:colOff>170274</xdr:colOff>
      <xdr:row>19</xdr:row>
      <xdr:rowOff>80963</xdr:rowOff>
    </xdr:to>
    <xdr:cxnSp macro="">
      <xdr:nvCxnSpPr>
        <xdr:cNvPr id="1227" name="Straight Arrow Connector 1226">
          <a:extLst>
            <a:ext uri="{FF2B5EF4-FFF2-40B4-BE49-F238E27FC236}">
              <a16:creationId xmlns:a16="http://schemas.microsoft.com/office/drawing/2014/main" id="{00000000-0008-0000-0000-0000CB040000}"/>
            </a:ext>
          </a:extLst>
        </xdr:cNvPr>
        <xdr:cNvCxnSpPr/>
      </xdr:nvCxnSpPr>
      <xdr:spPr>
        <a:xfrm flipV="1">
          <a:off x="9372600" y="3047042"/>
          <a:ext cx="17874" cy="25337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20</xdr:row>
      <xdr:rowOff>80963</xdr:rowOff>
    </xdr:from>
    <xdr:to>
      <xdr:col>3</xdr:col>
      <xdr:colOff>101595</xdr:colOff>
      <xdr:row>20</xdr:row>
      <xdr:rowOff>82511</xdr:rowOff>
    </xdr:to>
    <xdr:cxnSp macro="">
      <xdr:nvCxnSpPr>
        <xdr:cNvPr id="1228" name="Straight Arrow Connector 1227">
          <a:extLst>
            <a:ext uri="{FF2B5EF4-FFF2-40B4-BE49-F238E27FC236}">
              <a16:creationId xmlns:a16="http://schemas.microsoft.com/office/drawing/2014/main" id="{00000000-0008-0000-0000-0000CC040000}"/>
            </a:ext>
          </a:extLst>
        </xdr:cNvPr>
        <xdr:cNvCxnSpPr/>
      </xdr:nvCxnSpPr>
      <xdr:spPr>
        <a:xfrm>
          <a:off x="838200" y="3462338"/>
          <a:ext cx="253995" cy="154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152400</xdr:colOff>
      <xdr:row>20</xdr:row>
      <xdr:rowOff>80963</xdr:rowOff>
    </xdr:from>
    <xdr:to>
      <xdr:col>3</xdr:col>
      <xdr:colOff>222280</xdr:colOff>
      <xdr:row>22</xdr:row>
      <xdr:rowOff>1311</xdr:rowOff>
    </xdr:to>
    <xdr:cxnSp macro="">
      <xdr:nvCxnSpPr>
        <xdr:cNvPr id="1229" name="Straight Arrow Connector 1228">
          <a:extLst>
            <a:ext uri="{FF2B5EF4-FFF2-40B4-BE49-F238E27FC236}">
              <a16:creationId xmlns:a16="http://schemas.microsoft.com/office/drawing/2014/main" id="{00000000-0008-0000-0000-0000CD040000}"/>
            </a:ext>
          </a:extLst>
        </xdr:cNvPr>
        <xdr:cNvCxnSpPr/>
      </xdr:nvCxnSpPr>
      <xdr:spPr>
        <a:xfrm>
          <a:off x="1143000" y="3462338"/>
          <a:ext cx="69880" cy="24419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152400</xdr:colOff>
      <xdr:row>20</xdr:row>
      <xdr:rowOff>80963</xdr:rowOff>
    </xdr:from>
    <xdr:to>
      <xdr:col>4</xdr:col>
      <xdr:colOff>273253</xdr:colOff>
      <xdr:row>21</xdr:row>
      <xdr:rowOff>142444</xdr:rowOff>
    </xdr:to>
    <xdr:cxnSp macro="">
      <xdr:nvCxnSpPr>
        <xdr:cNvPr id="1230" name="Straight Arrow Connector 1229">
          <a:extLst>
            <a:ext uri="{FF2B5EF4-FFF2-40B4-BE49-F238E27FC236}">
              <a16:creationId xmlns:a16="http://schemas.microsoft.com/office/drawing/2014/main" id="{00000000-0008-0000-0000-0000CE040000}"/>
            </a:ext>
          </a:extLst>
        </xdr:cNvPr>
        <xdr:cNvCxnSpPr/>
      </xdr:nvCxnSpPr>
      <xdr:spPr>
        <a:xfrm>
          <a:off x="1447800" y="3462338"/>
          <a:ext cx="120853" cy="22340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20</xdr:row>
      <xdr:rowOff>80963</xdr:rowOff>
    </xdr:from>
    <xdr:to>
      <xdr:col>5</xdr:col>
      <xdr:colOff>304580</xdr:colOff>
      <xdr:row>21</xdr:row>
      <xdr:rowOff>122403</xdr:rowOff>
    </xdr:to>
    <xdr:cxnSp macro="">
      <xdr:nvCxnSpPr>
        <xdr:cNvPr id="1231" name="Straight Arrow Connector 1230">
          <a:extLst>
            <a:ext uri="{FF2B5EF4-FFF2-40B4-BE49-F238E27FC236}">
              <a16:creationId xmlns:a16="http://schemas.microsoft.com/office/drawing/2014/main" id="{00000000-0008-0000-0000-0000CF040000}"/>
            </a:ext>
          </a:extLst>
        </xdr:cNvPr>
        <xdr:cNvCxnSpPr/>
      </xdr:nvCxnSpPr>
      <xdr:spPr>
        <a:xfrm>
          <a:off x="1752600" y="3462338"/>
          <a:ext cx="152180" cy="20336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20</xdr:row>
      <xdr:rowOff>80963</xdr:rowOff>
    </xdr:from>
    <xdr:to>
      <xdr:col>7</xdr:col>
      <xdr:colOff>18678</xdr:colOff>
      <xdr:row>21</xdr:row>
      <xdr:rowOff>106783</xdr:rowOff>
    </xdr:to>
    <xdr:cxnSp macro="">
      <xdr:nvCxnSpPr>
        <xdr:cNvPr id="1232" name="Straight Arrow Connector 1231">
          <a:extLst>
            <a:ext uri="{FF2B5EF4-FFF2-40B4-BE49-F238E27FC236}">
              <a16:creationId xmlns:a16="http://schemas.microsoft.com/office/drawing/2014/main" id="{00000000-0008-0000-0000-0000D0040000}"/>
            </a:ext>
          </a:extLst>
        </xdr:cNvPr>
        <xdr:cNvCxnSpPr/>
      </xdr:nvCxnSpPr>
      <xdr:spPr>
        <a:xfrm>
          <a:off x="2057400" y="3462338"/>
          <a:ext cx="171078" cy="18774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152400</xdr:colOff>
      <xdr:row>20</xdr:row>
      <xdr:rowOff>80963</xdr:rowOff>
    </xdr:from>
    <xdr:to>
      <xdr:col>8</xdr:col>
      <xdr:colOff>31229</xdr:colOff>
      <xdr:row>21</xdr:row>
      <xdr:rowOff>94527</xdr:rowOff>
    </xdr:to>
    <xdr:cxnSp macro="">
      <xdr:nvCxnSpPr>
        <xdr:cNvPr id="1233" name="Straight Arrow Connector 1232">
          <a:extLst>
            <a:ext uri="{FF2B5EF4-FFF2-40B4-BE49-F238E27FC236}">
              <a16:creationId xmlns:a16="http://schemas.microsoft.com/office/drawing/2014/main" id="{00000000-0008-0000-0000-0000D1040000}"/>
            </a:ext>
          </a:extLst>
        </xdr:cNvPr>
        <xdr:cNvCxnSpPr/>
      </xdr:nvCxnSpPr>
      <xdr:spPr>
        <a:xfrm>
          <a:off x="2362200" y="3462338"/>
          <a:ext cx="183629" cy="17548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152400</xdr:colOff>
      <xdr:row>20</xdr:row>
      <xdr:rowOff>80963</xdr:rowOff>
    </xdr:from>
    <xdr:to>
      <xdr:col>9</xdr:col>
      <xdr:colOff>41293</xdr:colOff>
      <xdr:row>21</xdr:row>
      <xdr:rowOff>83352</xdr:rowOff>
    </xdr:to>
    <xdr:cxnSp macro="">
      <xdr:nvCxnSpPr>
        <xdr:cNvPr id="1234" name="Straight Arrow Connector 1233">
          <a:extLst>
            <a:ext uri="{FF2B5EF4-FFF2-40B4-BE49-F238E27FC236}">
              <a16:creationId xmlns:a16="http://schemas.microsoft.com/office/drawing/2014/main" id="{00000000-0008-0000-0000-0000D2040000}"/>
            </a:ext>
          </a:extLst>
        </xdr:cNvPr>
        <xdr:cNvCxnSpPr/>
      </xdr:nvCxnSpPr>
      <xdr:spPr>
        <a:xfrm>
          <a:off x="2667000" y="3462338"/>
          <a:ext cx="193693" cy="16431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20</xdr:row>
      <xdr:rowOff>80963</xdr:rowOff>
    </xdr:from>
    <xdr:to>
      <xdr:col>10</xdr:col>
      <xdr:colOff>51293</xdr:colOff>
      <xdr:row>21</xdr:row>
      <xdr:rowOff>70778</xdr:rowOff>
    </xdr:to>
    <xdr:cxnSp macro="">
      <xdr:nvCxnSpPr>
        <xdr:cNvPr id="1235" name="Straight Arrow Connector 1234">
          <a:extLst>
            <a:ext uri="{FF2B5EF4-FFF2-40B4-BE49-F238E27FC236}">
              <a16:creationId xmlns:a16="http://schemas.microsoft.com/office/drawing/2014/main" id="{00000000-0008-0000-0000-0000D3040000}"/>
            </a:ext>
          </a:extLst>
        </xdr:cNvPr>
        <xdr:cNvCxnSpPr/>
      </xdr:nvCxnSpPr>
      <xdr:spPr>
        <a:xfrm>
          <a:off x="2971800" y="3462338"/>
          <a:ext cx="203693" cy="15174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20</xdr:row>
      <xdr:rowOff>80963</xdr:rowOff>
    </xdr:from>
    <xdr:to>
      <xdr:col>11</xdr:col>
      <xdr:colOff>62741</xdr:colOff>
      <xdr:row>21</xdr:row>
      <xdr:rowOff>54057</xdr:rowOff>
    </xdr:to>
    <xdr:cxnSp macro="">
      <xdr:nvCxnSpPr>
        <xdr:cNvPr id="1236" name="Straight Arrow Connector 1235">
          <a:extLst>
            <a:ext uri="{FF2B5EF4-FFF2-40B4-BE49-F238E27FC236}">
              <a16:creationId xmlns:a16="http://schemas.microsoft.com/office/drawing/2014/main" id="{00000000-0008-0000-0000-0000D4040000}"/>
            </a:ext>
          </a:extLst>
        </xdr:cNvPr>
        <xdr:cNvCxnSpPr/>
      </xdr:nvCxnSpPr>
      <xdr:spPr>
        <a:xfrm>
          <a:off x="3276600" y="3462338"/>
          <a:ext cx="215141" cy="13501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152400</xdr:colOff>
      <xdr:row>20</xdr:row>
      <xdr:rowOff>80963</xdr:rowOff>
    </xdr:from>
    <xdr:to>
      <xdr:col>12</xdr:col>
      <xdr:colOff>76727</xdr:colOff>
      <xdr:row>21</xdr:row>
      <xdr:rowOff>28659</xdr:rowOff>
    </xdr:to>
    <xdr:cxnSp macro="">
      <xdr:nvCxnSpPr>
        <xdr:cNvPr id="1237" name="Straight Arrow Connector 1236">
          <a:extLst>
            <a:ext uri="{FF2B5EF4-FFF2-40B4-BE49-F238E27FC236}">
              <a16:creationId xmlns:a16="http://schemas.microsoft.com/office/drawing/2014/main" id="{00000000-0008-0000-0000-0000D5040000}"/>
            </a:ext>
          </a:extLst>
        </xdr:cNvPr>
        <xdr:cNvCxnSpPr/>
      </xdr:nvCxnSpPr>
      <xdr:spPr>
        <a:xfrm>
          <a:off x="3581400" y="3462338"/>
          <a:ext cx="229127" cy="10962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20</xdr:row>
      <xdr:rowOff>80963</xdr:rowOff>
    </xdr:from>
    <xdr:to>
      <xdr:col>13</xdr:col>
      <xdr:colOff>95922</xdr:colOff>
      <xdr:row>20</xdr:row>
      <xdr:rowOff>134369</xdr:rowOff>
    </xdr:to>
    <xdr:cxnSp macro="">
      <xdr:nvCxnSpPr>
        <xdr:cNvPr id="1238" name="Straight Arrow Connector 1237">
          <a:extLst>
            <a:ext uri="{FF2B5EF4-FFF2-40B4-BE49-F238E27FC236}">
              <a16:creationId xmlns:a16="http://schemas.microsoft.com/office/drawing/2014/main" id="{00000000-0008-0000-0000-0000D6040000}"/>
            </a:ext>
          </a:extLst>
        </xdr:cNvPr>
        <xdr:cNvCxnSpPr/>
      </xdr:nvCxnSpPr>
      <xdr:spPr>
        <a:xfrm>
          <a:off x="3886200" y="3462338"/>
          <a:ext cx="248322" cy="5340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152400</xdr:colOff>
      <xdr:row>20</xdr:row>
      <xdr:rowOff>80963</xdr:rowOff>
    </xdr:from>
    <xdr:to>
      <xdr:col>14</xdr:col>
      <xdr:colOff>100250</xdr:colOff>
      <xdr:row>20</xdr:row>
      <xdr:rowOff>107116</xdr:rowOff>
    </xdr:to>
    <xdr:cxnSp macro="">
      <xdr:nvCxnSpPr>
        <xdr:cNvPr id="1239" name="Straight Arrow Connector 1238">
          <a:extLst>
            <a:ext uri="{FF2B5EF4-FFF2-40B4-BE49-F238E27FC236}">
              <a16:creationId xmlns:a16="http://schemas.microsoft.com/office/drawing/2014/main" id="{00000000-0008-0000-0000-0000D7040000}"/>
            </a:ext>
          </a:extLst>
        </xdr:cNvPr>
        <xdr:cNvCxnSpPr/>
      </xdr:nvCxnSpPr>
      <xdr:spPr>
        <a:xfrm>
          <a:off x="4191000" y="3462338"/>
          <a:ext cx="252650" cy="2615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152400</xdr:colOff>
      <xdr:row>20</xdr:row>
      <xdr:rowOff>80963</xdr:rowOff>
    </xdr:from>
    <xdr:to>
      <xdr:col>15</xdr:col>
      <xdr:colOff>101279</xdr:colOff>
      <xdr:row>20</xdr:row>
      <xdr:rowOff>93736</xdr:rowOff>
    </xdr:to>
    <xdr:cxnSp macro="">
      <xdr:nvCxnSpPr>
        <xdr:cNvPr id="1240" name="Straight Arrow Connector 1239">
          <a:extLst>
            <a:ext uri="{FF2B5EF4-FFF2-40B4-BE49-F238E27FC236}">
              <a16:creationId xmlns:a16="http://schemas.microsoft.com/office/drawing/2014/main" id="{00000000-0008-0000-0000-0000D8040000}"/>
            </a:ext>
          </a:extLst>
        </xdr:cNvPr>
        <xdr:cNvCxnSpPr/>
      </xdr:nvCxnSpPr>
      <xdr:spPr>
        <a:xfrm>
          <a:off x="4495800" y="3462338"/>
          <a:ext cx="253679" cy="1277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20</xdr:row>
      <xdr:rowOff>80963</xdr:rowOff>
    </xdr:from>
    <xdr:to>
      <xdr:col>16</xdr:col>
      <xdr:colOff>101545</xdr:colOff>
      <xdr:row>20</xdr:row>
      <xdr:rowOff>86247</xdr:rowOff>
    </xdr:to>
    <xdr:cxnSp macro="">
      <xdr:nvCxnSpPr>
        <xdr:cNvPr id="1241" name="Straight Arrow Connector 1240">
          <a:extLst>
            <a:ext uri="{FF2B5EF4-FFF2-40B4-BE49-F238E27FC236}">
              <a16:creationId xmlns:a16="http://schemas.microsoft.com/office/drawing/2014/main" id="{00000000-0008-0000-0000-0000D9040000}"/>
            </a:ext>
          </a:extLst>
        </xdr:cNvPr>
        <xdr:cNvCxnSpPr/>
      </xdr:nvCxnSpPr>
      <xdr:spPr>
        <a:xfrm>
          <a:off x="4800600" y="3462338"/>
          <a:ext cx="253945" cy="528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20</xdr:row>
      <xdr:rowOff>80963</xdr:rowOff>
    </xdr:from>
    <xdr:to>
      <xdr:col>17</xdr:col>
      <xdr:colOff>101600</xdr:colOff>
      <xdr:row>20</xdr:row>
      <xdr:rowOff>80963</xdr:rowOff>
    </xdr:to>
    <xdr:cxnSp macro="">
      <xdr:nvCxnSpPr>
        <xdr:cNvPr id="1242" name="Straight Arrow Connector 1241">
          <a:extLst>
            <a:ext uri="{FF2B5EF4-FFF2-40B4-BE49-F238E27FC236}">
              <a16:creationId xmlns:a16="http://schemas.microsoft.com/office/drawing/2014/main" id="{00000000-0008-0000-0000-0000DA040000}"/>
            </a:ext>
          </a:extLst>
        </xdr:cNvPr>
        <xdr:cNvCxnSpPr/>
      </xdr:nvCxnSpPr>
      <xdr:spPr>
        <a:xfrm>
          <a:off x="5105400" y="3462338"/>
          <a:ext cx="254000" cy="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20</xdr:row>
      <xdr:rowOff>75679</xdr:rowOff>
    </xdr:from>
    <xdr:to>
      <xdr:col>18</xdr:col>
      <xdr:colOff>101545</xdr:colOff>
      <xdr:row>20</xdr:row>
      <xdr:rowOff>80963</xdr:rowOff>
    </xdr:to>
    <xdr:cxnSp macro="">
      <xdr:nvCxnSpPr>
        <xdr:cNvPr id="1243" name="Straight Arrow Connector 1242">
          <a:extLst>
            <a:ext uri="{FF2B5EF4-FFF2-40B4-BE49-F238E27FC236}">
              <a16:creationId xmlns:a16="http://schemas.microsoft.com/office/drawing/2014/main" id="{00000000-0008-0000-0000-0000DB040000}"/>
            </a:ext>
          </a:extLst>
        </xdr:cNvPr>
        <xdr:cNvCxnSpPr/>
      </xdr:nvCxnSpPr>
      <xdr:spPr>
        <a:xfrm flipV="1">
          <a:off x="5410200" y="3457054"/>
          <a:ext cx="253945" cy="528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152400</xdr:colOff>
      <xdr:row>20</xdr:row>
      <xdr:rowOff>68190</xdr:rowOff>
    </xdr:from>
    <xdr:to>
      <xdr:col>19</xdr:col>
      <xdr:colOff>101279</xdr:colOff>
      <xdr:row>20</xdr:row>
      <xdr:rowOff>80963</xdr:rowOff>
    </xdr:to>
    <xdr:cxnSp macro="">
      <xdr:nvCxnSpPr>
        <xdr:cNvPr id="1244" name="Straight Arrow Connector 1243">
          <a:extLst>
            <a:ext uri="{FF2B5EF4-FFF2-40B4-BE49-F238E27FC236}">
              <a16:creationId xmlns:a16="http://schemas.microsoft.com/office/drawing/2014/main" id="{00000000-0008-0000-0000-0000DC040000}"/>
            </a:ext>
          </a:extLst>
        </xdr:cNvPr>
        <xdr:cNvCxnSpPr/>
      </xdr:nvCxnSpPr>
      <xdr:spPr>
        <a:xfrm flipV="1">
          <a:off x="5715000" y="3449565"/>
          <a:ext cx="253679" cy="1277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152400</xdr:colOff>
      <xdr:row>20</xdr:row>
      <xdr:rowOff>54810</xdr:rowOff>
    </xdr:from>
    <xdr:to>
      <xdr:col>20</xdr:col>
      <xdr:colOff>100250</xdr:colOff>
      <xdr:row>20</xdr:row>
      <xdr:rowOff>80963</xdr:rowOff>
    </xdr:to>
    <xdr:cxnSp macro="">
      <xdr:nvCxnSpPr>
        <xdr:cNvPr id="1245" name="Straight Arrow Connector 1244">
          <a:extLst>
            <a:ext uri="{FF2B5EF4-FFF2-40B4-BE49-F238E27FC236}">
              <a16:creationId xmlns:a16="http://schemas.microsoft.com/office/drawing/2014/main" id="{00000000-0008-0000-0000-0000DD040000}"/>
            </a:ext>
          </a:extLst>
        </xdr:cNvPr>
        <xdr:cNvCxnSpPr/>
      </xdr:nvCxnSpPr>
      <xdr:spPr>
        <a:xfrm flipV="1">
          <a:off x="6019800" y="3436185"/>
          <a:ext cx="252650" cy="2615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20</xdr:row>
      <xdr:rowOff>27557</xdr:rowOff>
    </xdr:from>
    <xdr:to>
      <xdr:col>21</xdr:col>
      <xdr:colOff>95922</xdr:colOff>
      <xdr:row>20</xdr:row>
      <xdr:rowOff>80963</xdr:rowOff>
    </xdr:to>
    <xdr:cxnSp macro="">
      <xdr:nvCxnSpPr>
        <xdr:cNvPr id="1246" name="Straight Arrow Connector 1245">
          <a:extLst>
            <a:ext uri="{FF2B5EF4-FFF2-40B4-BE49-F238E27FC236}">
              <a16:creationId xmlns:a16="http://schemas.microsoft.com/office/drawing/2014/main" id="{00000000-0008-0000-0000-0000DE040000}"/>
            </a:ext>
          </a:extLst>
        </xdr:cNvPr>
        <xdr:cNvCxnSpPr/>
      </xdr:nvCxnSpPr>
      <xdr:spPr>
        <a:xfrm flipV="1">
          <a:off x="6324600" y="3408932"/>
          <a:ext cx="248322" cy="5340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19</xdr:row>
      <xdr:rowOff>133268</xdr:rowOff>
    </xdr:from>
    <xdr:to>
      <xdr:col>22</xdr:col>
      <xdr:colOff>76728</xdr:colOff>
      <xdr:row>20</xdr:row>
      <xdr:rowOff>80963</xdr:rowOff>
    </xdr:to>
    <xdr:cxnSp macro="">
      <xdr:nvCxnSpPr>
        <xdr:cNvPr id="1247" name="Straight Arrow Connector 1246">
          <a:extLst>
            <a:ext uri="{FF2B5EF4-FFF2-40B4-BE49-F238E27FC236}">
              <a16:creationId xmlns:a16="http://schemas.microsoft.com/office/drawing/2014/main" id="{00000000-0008-0000-0000-0000DF040000}"/>
            </a:ext>
          </a:extLst>
        </xdr:cNvPr>
        <xdr:cNvCxnSpPr/>
      </xdr:nvCxnSpPr>
      <xdr:spPr>
        <a:xfrm flipV="1">
          <a:off x="6629400" y="3352718"/>
          <a:ext cx="229128" cy="10962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19</xdr:row>
      <xdr:rowOff>107870</xdr:rowOff>
    </xdr:from>
    <xdr:to>
      <xdr:col>23</xdr:col>
      <xdr:colOff>62743</xdr:colOff>
      <xdr:row>20</xdr:row>
      <xdr:rowOff>80963</xdr:rowOff>
    </xdr:to>
    <xdr:cxnSp macro="">
      <xdr:nvCxnSpPr>
        <xdr:cNvPr id="1248" name="Straight Arrow Connector 1247">
          <a:extLst>
            <a:ext uri="{FF2B5EF4-FFF2-40B4-BE49-F238E27FC236}">
              <a16:creationId xmlns:a16="http://schemas.microsoft.com/office/drawing/2014/main" id="{00000000-0008-0000-0000-0000E0040000}"/>
            </a:ext>
          </a:extLst>
        </xdr:cNvPr>
        <xdr:cNvCxnSpPr/>
      </xdr:nvCxnSpPr>
      <xdr:spPr>
        <a:xfrm flipV="1">
          <a:off x="6934200" y="3327320"/>
          <a:ext cx="215143" cy="13501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152400</xdr:colOff>
      <xdr:row>19</xdr:row>
      <xdr:rowOff>91150</xdr:rowOff>
    </xdr:from>
    <xdr:to>
      <xdr:col>24</xdr:col>
      <xdr:colOff>51295</xdr:colOff>
      <xdr:row>20</xdr:row>
      <xdr:rowOff>80963</xdr:rowOff>
    </xdr:to>
    <xdr:cxnSp macro="">
      <xdr:nvCxnSpPr>
        <xdr:cNvPr id="1249" name="Straight Arrow Connector 1248">
          <a:extLst>
            <a:ext uri="{FF2B5EF4-FFF2-40B4-BE49-F238E27FC236}">
              <a16:creationId xmlns:a16="http://schemas.microsoft.com/office/drawing/2014/main" id="{00000000-0008-0000-0000-0000E1040000}"/>
            </a:ext>
          </a:extLst>
        </xdr:cNvPr>
        <xdr:cNvCxnSpPr/>
      </xdr:nvCxnSpPr>
      <xdr:spPr>
        <a:xfrm flipV="1">
          <a:off x="7239000" y="3310600"/>
          <a:ext cx="203695" cy="15173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19</xdr:row>
      <xdr:rowOff>78577</xdr:rowOff>
    </xdr:from>
    <xdr:to>
      <xdr:col>25</xdr:col>
      <xdr:colOff>41295</xdr:colOff>
      <xdr:row>20</xdr:row>
      <xdr:rowOff>80963</xdr:rowOff>
    </xdr:to>
    <xdr:cxnSp macro="">
      <xdr:nvCxnSpPr>
        <xdr:cNvPr id="1250" name="Straight Arrow Connector 1249">
          <a:extLst>
            <a:ext uri="{FF2B5EF4-FFF2-40B4-BE49-F238E27FC236}">
              <a16:creationId xmlns:a16="http://schemas.microsoft.com/office/drawing/2014/main" id="{00000000-0008-0000-0000-0000E2040000}"/>
            </a:ext>
          </a:extLst>
        </xdr:cNvPr>
        <xdr:cNvCxnSpPr/>
      </xdr:nvCxnSpPr>
      <xdr:spPr>
        <a:xfrm flipV="1">
          <a:off x="7543800" y="3298027"/>
          <a:ext cx="193695" cy="16431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19</xdr:row>
      <xdr:rowOff>67402</xdr:rowOff>
    </xdr:from>
    <xdr:to>
      <xdr:col>26</xdr:col>
      <xdr:colOff>31232</xdr:colOff>
      <xdr:row>20</xdr:row>
      <xdr:rowOff>80963</xdr:rowOff>
    </xdr:to>
    <xdr:cxnSp macro="">
      <xdr:nvCxnSpPr>
        <xdr:cNvPr id="1251" name="Straight Arrow Connector 1250">
          <a:extLst>
            <a:ext uri="{FF2B5EF4-FFF2-40B4-BE49-F238E27FC236}">
              <a16:creationId xmlns:a16="http://schemas.microsoft.com/office/drawing/2014/main" id="{00000000-0008-0000-0000-0000E3040000}"/>
            </a:ext>
          </a:extLst>
        </xdr:cNvPr>
        <xdr:cNvCxnSpPr/>
      </xdr:nvCxnSpPr>
      <xdr:spPr>
        <a:xfrm flipV="1">
          <a:off x="7848600" y="3286852"/>
          <a:ext cx="183632" cy="17548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152400</xdr:colOff>
      <xdr:row>19</xdr:row>
      <xdr:rowOff>55146</xdr:rowOff>
    </xdr:from>
    <xdr:to>
      <xdr:col>27</xdr:col>
      <xdr:colOff>18683</xdr:colOff>
      <xdr:row>20</xdr:row>
      <xdr:rowOff>80963</xdr:rowOff>
    </xdr:to>
    <xdr:cxnSp macro="">
      <xdr:nvCxnSpPr>
        <xdr:cNvPr id="1252" name="Straight Arrow Connector 1251">
          <a:extLst>
            <a:ext uri="{FF2B5EF4-FFF2-40B4-BE49-F238E27FC236}">
              <a16:creationId xmlns:a16="http://schemas.microsoft.com/office/drawing/2014/main" id="{00000000-0008-0000-0000-0000E4040000}"/>
            </a:ext>
          </a:extLst>
        </xdr:cNvPr>
        <xdr:cNvCxnSpPr/>
      </xdr:nvCxnSpPr>
      <xdr:spPr>
        <a:xfrm flipV="1">
          <a:off x="8153400" y="3274596"/>
          <a:ext cx="171083" cy="18774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152400</xdr:colOff>
      <xdr:row>19</xdr:row>
      <xdr:rowOff>39527</xdr:rowOff>
    </xdr:from>
    <xdr:to>
      <xdr:col>27</xdr:col>
      <xdr:colOff>304585</xdr:colOff>
      <xdr:row>20</xdr:row>
      <xdr:rowOff>80963</xdr:rowOff>
    </xdr:to>
    <xdr:cxnSp macro="">
      <xdr:nvCxnSpPr>
        <xdr:cNvPr id="1253" name="Straight Arrow Connector 1252">
          <a:extLst>
            <a:ext uri="{FF2B5EF4-FFF2-40B4-BE49-F238E27FC236}">
              <a16:creationId xmlns:a16="http://schemas.microsoft.com/office/drawing/2014/main" id="{00000000-0008-0000-0000-0000E5040000}"/>
            </a:ext>
          </a:extLst>
        </xdr:cNvPr>
        <xdr:cNvCxnSpPr/>
      </xdr:nvCxnSpPr>
      <xdr:spPr>
        <a:xfrm flipV="1">
          <a:off x="8458200" y="3258977"/>
          <a:ext cx="152185" cy="20336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152400</xdr:colOff>
      <xdr:row>19</xdr:row>
      <xdr:rowOff>19484</xdr:rowOff>
    </xdr:from>
    <xdr:to>
      <xdr:col>28</xdr:col>
      <xdr:colOff>273260</xdr:colOff>
      <xdr:row>20</xdr:row>
      <xdr:rowOff>80963</xdr:rowOff>
    </xdr:to>
    <xdr:cxnSp macro="">
      <xdr:nvCxnSpPr>
        <xdr:cNvPr id="1254" name="Straight Arrow Connector 1253">
          <a:extLst>
            <a:ext uri="{FF2B5EF4-FFF2-40B4-BE49-F238E27FC236}">
              <a16:creationId xmlns:a16="http://schemas.microsoft.com/office/drawing/2014/main" id="{00000000-0008-0000-0000-0000E6040000}"/>
            </a:ext>
          </a:extLst>
        </xdr:cNvPr>
        <xdr:cNvCxnSpPr/>
      </xdr:nvCxnSpPr>
      <xdr:spPr>
        <a:xfrm flipV="1">
          <a:off x="8763000" y="3238934"/>
          <a:ext cx="120860" cy="22340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152400</xdr:colOff>
      <xdr:row>18</xdr:row>
      <xdr:rowOff>160616</xdr:rowOff>
    </xdr:from>
    <xdr:to>
      <xdr:col>29</xdr:col>
      <xdr:colOff>222285</xdr:colOff>
      <xdr:row>20</xdr:row>
      <xdr:rowOff>80963</xdr:rowOff>
    </xdr:to>
    <xdr:cxnSp macro="">
      <xdr:nvCxnSpPr>
        <xdr:cNvPr id="1255" name="Straight Arrow Connector 1254">
          <a:extLst>
            <a:ext uri="{FF2B5EF4-FFF2-40B4-BE49-F238E27FC236}">
              <a16:creationId xmlns:a16="http://schemas.microsoft.com/office/drawing/2014/main" id="{00000000-0008-0000-0000-0000E7040000}"/>
            </a:ext>
          </a:extLst>
        </xdr:cNvPr>
        <xdr:cNvCxnSpPr/>
      </xdr:nvCxnSpPr>
      <xdr:spPr>
        <a:xfrm flipV="1">
          <a:off x="9067800" y="3218141"/>
          <a:ext cx="69885" cy="24419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152400</xdr:colOff>
      <xdr:row>18</xdr:row>
      <xdr:rowOff>153443</xdr:rowOff>
    </xdr:from>
    <xdr:to>
      <xdr:col>30</xdr:col>
      <xdr:colOff>188857</xdr:colOff>
      <xdr:row>20</xdr:row>
      <xdr:rowOff>80963</xdr:rowOff>
    </xdr:to>
    <xdr:cxnSp macro="">
      <xdr:nvCxnSpPr>
        <xdr:cNvPr id="1256" name="Straight Arrow Connector 1255">
          <a:extLst>
            <a:ext uri="{FF2B5EF4-FFF2-40B4-BE49-F238E27FC236}">
              <a16:creationId xmlns:a16="http://schemas.microsoft.com/office/drawing/2014/main" id="{00000000-0008-0000-0000-0000E8040000}"/>
            </a:ext>
          </a:extLst>
        </xdr:cNvPr>
        <xdr:cNvCxnSpPr/>
      </xdr:nvCxnSpPr>
      <xdr:spPr>
        <a:xfrm flipV="1">
          <a:off x="9372600" y="3210968"/>
          <a:ext cx="36457" cy="25137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21</xdr:row>
      <xdr:rowOff>80963</xdr:rowOff>
    </xdr:from>
    <xdr:to>
      <xdr:col>3</xdr:col>
      <xdr:colOff>101595</xdr:colOff>
      <xdr:row>21</xdr:row>
      <xdr:rowOff>82592</xdr:rowOff>
    </xdr:to>
    <xdr:cxnSp macro="">
      <xdr:nvCxnSpPr>
        <xdr:cNvPr id="1257" name="Straight Arrow Connector 1256">
          <a:extLst>
            <a:ext uri="{FF2B5EF4-FFF2-40B4-BE49-F238E27FC236}">
              <a16:creationId xmlns:a16="http://schemas.microsoft.com/office/drawing/2014/main" id="{00000000-0008-0000-0000-0000E9040000}"/>
            </a:ext>
          </a:extLst>
        </xdr:cNvPr>
        <xdr:cNvCxnSpPr/>
      </xdr:nvCxnSpPr>
      <xdr:spPr>
        <a:xfrm>
          <a:off x="838200" y="3624263"/>
          <a:ext cx="253995" cy="162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152400</xdr:colOff>
      <xdr:row>21</xdr:row>
      <xdr:rowOff>80963</xdr:rowOff>
    </xdr:from>
    <xdr:to>
      <xdr:col>3</xdr:col>
      <xdr:colOff>259719</xdr:colOff>
      <xdr:row>22</xdr:row>
      <xdr:rowOff>149252</xdr:rowOff>
    </xdr:to>
    <xdr:cxnSp macro="">
      <xdr:nvCxnSpPr>
        <xdr:cNvPr id="1258" name="Straight Arrow Connector 1257">
          <a:extLst>
            <a:ext uri="{FF2B5EF4-FFF2-40B4-BE49-F238E27FC236}">
              <a16:creationId xmlns:a16="http://schemas.microsoft.com/office/drawing/2014/main" id="{00000000-0008-0000-0000-0000EA040000}"/>
            </a:ext>
          </a:extLst>
        </xdr:cNvPr>
        <xdr:cNvCxnSpPr/>
      </xdr:nvCxnSpPr>
      <xdr:spPr>
        <a:xfrm>
          <a:off x="1143000" y="3624263"/>
          <a:ext cx="107319" cy="23021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152400</xdr:colOff>
      <xdr:row>21</xdr:row>
      <xdr:rowOff>80963</xdr:rowOff>
    </xdr:from>
    <xdr:to>
      <xdr:col>5</xdr:col>
      <xdr:colOff>15467</xdr:colOff>
      <xdr:row>22</xdr:row>
      <xdr:rowOff>109659</xdr:rowOff>
    </xdr:to>
    <xdr:cxnSp macro="">
      <xdr:nvCxnSpPr>
        <xdr:cNvPr id="1259" name="Straight Arrow Connector 1258">
          <a:extLst>
            <a:ext uri="{FF2B5EF4-FFF2-40B4-BE49-F238E27FC236}">
              <a16:creationId xmlns:a16="http://schemas.microsoft.com/office/drawing/2014/main" id="{00000000-0008-0000-0000-0000EB040000}"/>
            </a:ext>
          </a:extLst>
        </xdr:cNvPr>
        <xdr:cNvCxnSpPr/>
      </xdr:nvCxnSpPr>
      <xdr:spPr>
        <a:xfrm>
          <a:off x="1447800" y="3624263"/>
          <a:ext cx="167867" cy="19062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21</xdr:row>
      <xdr:rowOff>80963</xdr:rowOff>
    </xdr:from>
    <xdr:to>
      <xdr:col>6</xdr:col>
      <xdr:colOff>43808</xdr:colOff>
      <xdr:row>22</xdr:row>
      <xdr:rowOff>80340</xdr:rowOff>
    </xdr:to>
    <xdr:cxnSp macro="">
      <xdr:nvCxnSpPr>
        <xdr:cNvPr id="1260" name="Straight Arrow Connector 1259">
          <a:extLst>
            <a:ext uri="{FF2B5EF4-FFF2-40B4-BE49-F238E27FC236}">
              <a16:creationId xmlns:a16="http://schemas.microsoft.com/office/drawing/2014/main" id="{00000000-0008-0000-0000-0000EC040000}"/>
            </a:ext>
          </a:extLst>
        </xdr:cNvPr>
        <xdr:cNvCxnSpPr/>
      </xdr:nvCxnSpPr>
      <xdr:spPr>
        <a:xfrm>
          <a:off x="1752600" y="3624263"/>
          <a:ext cx="196208" cy="16130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21</xdr:row>
      <xdr:rowOff>80963</xdr:rowOff>
    </xdr:from>
    <xdr:to>
      <xdr:col>7</xdr:col>
      <xdr:colOff>57936</xdr:colOff>
      <xdr:row>22</xdr:row>
      <xdr:rowOff>61427</xdr:rowOff>
    </xdr:to>
    <xdr:cxnSp macro="">
      <xdr:nvCxnSpPr>
        <xdr:cNvPr id="1261" name="Straight Arrow Connector 1260">
          <a:extLst>
            <a:ext uri="{FF2B5EF4-FFF2-40B4-BE49-F238E27FC236}">
              <a16:creationId xmlns:a16="http://schemas.microsoft.com/office/drawing/2014/main" id="{00000000-0008-0000-0000-0000ED040000}"/>
            </a:ext>
          </a:extLst>
        </xdr:cNvPr>
        <xdr:cNvCxnSpPr/>
      </xdr:nvCxnSpPr>
      <xdr:spPr>
        <a:xfrm>
          <a:off x="2057400" y="3624263"/>
          <a:ext cx="210336" cy="14238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152400</xdr:colOff>
      <xdr:row>21</xdr:row>
      <xdr:rowOff>80963</xdr:rowOff>
    </xdr:from>
    <xdr:to>
      <xdr:col>8</xdr:col>
      <xdr:colOff>66137</xdr:colOff>
      <xdr:row>22</xdr:row>
      <xdr:rowOff>48489</xdr:rowOff>
    </xdr:to>
    <xdr:cxnSp macro="">
      <xdr:nvCxnSpPr>
        <xdr:cNvPr id="1262" name="Straight Arrow Connector 1261">
          <a:extLst>
            <a:ext uri="{FF2B5EF4-FFF2-40B4-BE49-F238E27FC236}">
              <a16:creationId xmlns:a16="http://schemas.microsoft.com/office/drawing/2014/main" id="{00000000-0008-0000-0000-0000EE040000}"/>
            </a:ext>
          </a:extLst>
        </xdr:cNvPr>
        <xdr:cNvCxnSpPr/>
      </xdr:nvCxnSpPr>
      <xdr:spPr>
        <a:xfrm>
          <a:off x="2362200" y="3624263"/>
          <a:ext cx="218537" cy="12945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152400</xdr:colOff>
      <xdr:row>21</xdr:row>
      <xdr:rowOff>80963</xdr:rowOff>
    </xdr:from>
    <xdr:to>
      <xdr:col>9</xdr:col>
      <xdr:colOff>72029</xdr:colOff>
      <xdr:row>22</xdr:row>
      <xdr:rowOff>37981</xdr:rowOff>
    </xdr:to>
    <xdr:cxnSp macro="">
      <xdr:nvCxnSpPr>
        <xdr:cNvPr id="1263" name="Straight Arrow Connector 1262">
          <a:extLst>
            <a:ext uri="{FF2B5EF4-FFF2-40B4-BE49-F238E27FC236}">
              <a16:creationId xmlns:a16="http://schemas.microsoft.com/office/drawing/2014/main" id="{00000000-0008-0000-0000-0000EF040000}"/>
            </a:ext>
          </a:extLst>
        </xdr:cNvPr>
        <xdr:cNvCxnSpPr/>
      </xdr:nvCxnSpPr>
      <xdr:spPr>
        <a:xfrm>
          <a:off x="2667000" y="3624263"/>
          <a:ext cx="224429" cy="11894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21</xdr:row>
      <xdr:rowOff>80963</xdr:rowOff>
    </xdr:from>
    <xdr:to>
      <xdr:col>10</xdr:col>
      <xdr:colOff>77410</xdr:colOff>
      <xdr:row>22</xdr:row>
      <xdr:rowOff>27219</xdr:rowOff>
    </xdr:to>
    <xdr:cxnSp macro="">
      <xdr:nvCxnSpPr>
        <xdr:cNvPr id="1264" name="Straight Arrow Connector 1263">
          <a:extLst>
            <a:ext uri="{FF2B5EF4-FFF2-40B4-BE49-F238E27FC236}">
              <a16:creationId xmlns:a16="http://schemas.microsoft.com/office/drawing/2014/main" id="{00000000-0008-0000-0000-0000F0040000}"/>
            </a:ext>
          </a:extLst>
        </xdr:cNvPr>
        <xdr:cNvCxnSpPr/>
      </xdr:nvCxnSpPr>
      <xdr:spPr>
        <a:xfrm>
          <a:off x="2971800" y="3624263"/>
          <a:ext cx="229810" cy="10818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21</xdr:row>
      <xdr:rowOff>80963</xdr:rowOff>
    </xdr:from>
    <xdr:to>
      <xdr:col>11</xdr:col>
      <xdr:colOff>83286</xdr:colOff>
      <xdr:row>22</xdr:row>
      <xdr:rowOff>13738</xdr:rowOff>
    </xdr:to>
    <xdr:cxnSp macro="">
      <xdr:nvCxnSpPr>
        <xdr:cNvPr id="1265" name="Straight Arrow Connector 1264">
          <a:extLst>
            <a:ext uri="{FF2B5EF4-FFF2-40B4-BE49-F238E27FC236}">
              <a16:creationId xmlns:a16="http://schemas.microsoft.com/office/drawing/2014/main" id="{00000000-0008-0000-0000-0000F1040000}"/>
            </a:ext>
          </a:extLst>
        </xdr:cNvPr>
        <xdr:cNvCxnSpPr/>
      </xdr:nvCxnSpPr>
      <xdr:spPr>
        <a:xfrm>
          <a:off x="3276600" y="3624263"/>
          <a:ext cx="235686" cy="947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152400</xdr:colOff>
      <xdr:row>21</xdr:row>
      <xdr:rowOff>80963</xdr:rowOff>
    </xdr:from>
    <xdr:to>
      <xdr:col>12</xdr:col>
      <xdr:colOff>90121</xdr:colOff>
      <xdr:row>21</xdr:row>
      <xdr:rowOff>156458</xdr:rowOff>
    </xdr:to>
    <xdr:cxnSp macro="">
      <xdr:nvCxnSpPr>
        <xdr:cNvPr id="1266" name="Straight Arrow Connector 1265">
          <a:extLst>
            <a:ext uri="{FF2B5EF4-FFF2-40B4-BE49-F238E27FC236}">
              <a16:creationId xmlns:a16="http://schemas.microsoft.com/office/drawing/2014/main" id="{00000000-0008-0000-0000-0000F2040000}"/>
            </a:ext>
          </a:extLst>
        </xdr:cNvPr>
        <xdr:cNvCxnSpPr/>
      </xdr:nvCxnSpPr>
      <xdr:spPr>
        <a:xfrm>
          <a:off x="3581400" y="3624263"/>
          <a:ext cx="242521" cy="7549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21</xdr:row>
      <xdr:rowOff>80963</xdr:rowOff>
    </xdr:from>
    <xdr:to>
      <xdr:col>13</xdr:col>
      <xdr:colOff>97234</xdr:colOff>
      <xdr:row>21</xdr:row>
      <xdr:rowOff>127856</xdr:rowOff>
    </xdr:to>
    <xdr:cxnSp macro="">
      <xdr:nvCxnSpPr>
        <xdr:cNvPr id="1267" name="Straight Arrow Connector 1266">
          <a:extLst>
            <a:ext uri="{FF2B5EF4-FFF2-40B4-BE49-F238E27FC236}">
              <a16:creationId xmlns:a16="http://schemas.microsoft.com/office/drawing/2014/main" id="{00000000-0008-0000-0000-0000F3040000}"/>
            </a:ext>
          </a:extLst>
        </xdr:cNvPr>
        <xdr:cNvCxnSpPr/>
      </xdr:nvCxnSpPr>
      <xdr:spPr>
        <a:xfrm>
          <a:off x="3886200" y="3624263"/>
          <a:ext cx="249634" cy="4689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152400</xdr:colOff>
      <xdr:row>21</xdr:row>
      <xdr:rowOff>80963</xdr:rowOff>
    </xdr:from>
    <xdr:to>
      <xdr:col>14</xdr:col>
      <xdr:colOff>100166</xdr:colOff>
      <xdr:row>21</xdr:row>
      <xdr:rowOff>107919</xdr:rowOff>
    </xdr:to>
    <xdr:cxnSp macro="">
      <xdr:nvCxnSpPr>
        <xdr:cNvPr id="1268" name="Straight Arrow Connector 1267">
          <a:extLst>
            <a:ext uri="{FF2B5EF4-FFF2-40B4-BE49-F238E27FC236}">
              <a16:creationId xmlns:a16="http://schemas.microsoft.com/office/drawing/2014/main" id="{00000000-0008-0000-0000-0000F4040000}"/>
            </a:ext>
          </a:extLst>
        </xdr:cNvPr>
        <xdr:cNvCxnSpPr/>
      </xdr:nvCxnSpPr>
      <xdr:spPr>
        <a:xfrm>
          <a:off x="4191000" y="3624263"/>
          <a:ext cx="252566" cy="2695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152400</xdr:colOff>
      <xdr:row>21</xdr:row>
      <xdr:rowOff>80963</xdr:rowOff>
    </xdr:from>
    <xdr:to>
      <xdr:col>15</xdr:col>
      <xdr:colOff>101187</xdr:colOff>
      <xdr:row>21</xdr:row>
      <xdr:rowOff>95441</xdr:rowOff>
    </xdr:to>
    <xdr:cxnSp macro="">
      <xdr:nvCxnSpPr>
        <xdr:cNvPr id="1269" name="Straight Arrow Connector 1268">
          <a:extLst>
            <a:ext uri="{FF2B5EF4-FFF2-40B4-BE49-F238E27FC236}">
              <a16:creationId xmlns:a16="http://schemas.microsoft.com/office/drawing/2014/main" id="{00000000-0008-0000-0000-0000F5040000}"/>
            </a:ext>
          </a:extLst>
        </xdr:cNvPr>
        <xdr:cNvCxnSpPr/>
      </xdr:nvCxnSpPr>
      <xdr:spPr>
        <a:xfrm>
          <a:off x="4495800" y="3624263"/>
          <a:ext cx="253587" cy="1447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21</xdr:row>
      <xdr:rowOff>80963</xdr:rowOff>
    </xdr:from>
    <xdr:to>
      <xdr:col>16</xdr:col>
      <xdr:colOff>101522</xdr:colOff>
      <xdr:row>21</xdr:row>
      <xdr:rowOff>87260</xdr:rowOff>
    </xdr:to>
    <xdr:cxnSp macro="">
      <xdr:nvCxnSpPr>
        <xdr:cNvPr id="1270" name="Straight Arrow Connector 1269">
          <a:extLst>
            <a:ext uri="{FF2B5EF4-FFF2-40B4-BE49-F238E27FC236}">
              <a16:creationId xmlns:a16="http://schemas.microsoft.com/office/drawing/2014/main" id="{00000000-0008-0000-0000-0000F6040000}"/>
            </a:ext>
          </a:extLst>
        </xdr:cNvPr>
        <xdr:cNvCxnSpPr/>
      </xdr:nvCxnSpPr>
      <xdr:spPr>
        <a:xfrm>
          <a:off x="4800600" y="3624263"/>
          <a:ext cx="253922" cy="629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21</xdr:row>
      <xdr:rowOff>80963</xdr:rowOff>
    </xdr:from>
    <xdr:to>
      <xdr:col>17</xdr:col>
      <xdr:colOff>101600</xdr:colOff>
      <xdr:row>21</xdr:row>
      <xdr:rowOff>80963</xdr:rowOff>
    </xdr:to>
    <xdr:cxnSp macro="">
      <xdr:nvCxnSpPr>
        <xdr:cNvPr id="1271" name="Straight Arrow Connector 1270">
          <a:extLst>
            <a:ext uri="{FF2B5EF4-FFF2-40B4-BE49-F238E27FC236}">
              <a16:creationId xmlns:a16="http://schemas.microsoft.com/office/drawing/2014/main" id="{00000000-0008-0000-0000-0000F7040000}"/>
            </a:ext>
          </a:extLst>
        </xdr:cNvPr>
        <xdr:cNvCxnSpPr/>
      </xdr:nvCxnSpPr>
      <xdr:spPr>
        <a:xfrm>
          <a:off x="5105400" y="3624263"/>
          <a:ext cx="254000" cy="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21</xdr:row>
      <xdr:rowOff>74666</xdr:rowOff>
    </xdr:from>
    <xdr:to>
      <xdr:col>18</xdr:col>
      <xdr:colOff>101522</xdr:colOff>
      <xdr:row>21</xdr:row>
      <xdr:rowOff>80963</xdr:rowOff>
    </xdr:to>
    <xdr:cxnSp macro="">
      <xdr:nvCxnSpPr>
        <xdr:cNvPr id="1272" name="Straight Arrow Connector 1271">
          <a:extLst>
            <a:ext uri="{FF2B5EF4-FFF2-40B4-BE49-F238E27FC236}">
              <a16:creationId xmlns:a16="http://schemas.microsoft.com/office/drawing/2014/main" id="{00000000-0008-0000-0000-0000F8040000}"/>
            </a:ext>
          </a:extLst>
        </xdr:cNvPr>
        <xdr:cNvCxnSpPr/>
      </xdr:nvCxnSpPr>
      <xdr:spPr>
        <a:xfrm flipV="1">
          <a:off x="5410200" y="3617966"/>
          <a:ext cx="253922" cy="629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152400</xdr:colOff>
      <xdr:row>21</xdr:row>
      <xdr:rowOff>66484</xdr:rowOff>
    </xdr:from>
    <xdr:to>
      <xdr:col>19</xdr:col>
      <xdr:colOff>101187</xdr:colOff>
      <xdr:row>21</xdr:row>
      <xdr:rowOff>80963</xdr:rowOff>
    </xdr:to>
    <xdr:cxnSp macro="">
      <xdr:nvCxnSpPr>
        <xdr:cNvPr id="1273" name="Straight Arrow Connector 1272">
          <a:extLst>
            <a:ext uri="{FF2B5EF4-FFF2-40B4-BE49-F238E27FC236}">
              <a16:creationId xmlns:a16="http://schemas.microsoft.com/office/drawing/2014/main" id="{00000000-0008-0000-0000-0000F9040000}"/>
            </a:ext>
          </a:extLst>
        </xdr:cNvPr>
        <xdr:cNvCxnSpPr/>
      </xdr:nvCxnSpPr>
      <xdr:spPr>
        <a:xfrm flipV="1">
          <a:off x="5715000" y="3609784"/>
          <a:ext cx="253587" cy="1447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152400</xdr:colOff>
      <xdr:row>21</xdr:row>
      <xdr:rowOff>54006</xdr:rowOff>
    </xdr:from>
    <xdr:to>
      <xdr:col>20</xdr:col>
      <xdr:colOff>100166</xdr:colOff>
      <xdr:row>21</xdr:row>
      <xdr:rowOff>80963</xdr:rowOff>
    </xdr:to>
    <xdr:cxnSp macro="">
      <xdr:nvCxnSpPr>
        <xdr:cNvPr id="1274" name="Straight Arrow Connector 1273">
          <a:extLst>
            <a:ext uri="{FF2B5EF4-FFF2-40B4-BE49-F238E27FC236}">
              <a16:creationId xmlns:a16="http://schemas.microsoft.com/office/drawing/2014/main" id="{00000000-0008-0000-0000-0000FA040000}"/>
            </a:ext>
          </a:extLst>
        </xdr:cNvPr>
        <xdr:cNvCxnSpPr/>
      </xdr:nvCxnSpPr>
      <xdr:spPr>
        <a:xfrm flipV="1">
          <a:off x="6019800" y="3597306"/>
          <a:ext cx="252566" cy="2695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21</xdr:row>
      <xdr:rowOff>34070</xdr:rowOff>
    </xdr:from>
    <xdr:to>
      <xdr:col>21</xdr:col>
      <xdr:colOff>97234</xdr:colOff>
      <xdr:row>21</xdr:row>
      <xdr:rowOff>80963</xdr:rowOff>
    </xdr:to>
    <xdr:cxnSp macro="">
      <xdr:nvCxnSpPr>
        <xdr:cNvPr id="1275" name="Straight Arrow Connector 1274">
          <a:extLst>
            <a:ext uri="{FF2B5EF4-FFF2-40B4-BE49-F238E27FC236}">
              <a16:creationId xmlns:a16="http://schemas.microsoft.com/office/drawing/2014/main" id="{00000000-0008-0000-0000-0000FB040000}"/>
            </a:ext>
          </a:extLst>
        </xdr:cNvPr>
        <xdr:cNvCxnSpPr/>
      </xdr:nvCxnSpPr>
      <xdr:spPr>
        <a:xfrm flipV="1">
          <a:off x="6324600" y="3577370"/>
          <a:ext cx="249634" cy="4689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21</xdr:row>
      <xdr:rowOff>5469</xdr:rowOff>
    </xdr:from>
    <xdr:to>
      <xdr:col>22</xdr:col>
      <xdr:colOff>90122</xdr:colOff>
      <xdr:row>21</xdr:row>
      <xdr:rowOff>80963</xdr:rowOff>
    </xdr:to>
    <xdr:cxnSp macro="">
      <xdr:nvCxnSpPr>
        <xdr:cNvPr id="1276" name="Straight Arrow Connector 1275">
          <a:extLst>
            <a:ext uri="{FF2B5EF4-FFF2-40B4-BE49-F238E27FC236}">
              <a16:creationId xmlns:a16="http://schemas.microsoft.com/office/drawing/2014/main" id="{00000000-0008-0000-0000-0000FC040000}"/>
            </a:ext>
          </a:extLst>
        </xdr:cNvPr>
        <xdr:cNvCxnSpPr/>
      </xdr:nvCxnSpPr>
      <xdr:spPr>
        <a:xfrm flipV="1">
          <a:off x="6629400" y="3548769"/>
          <a:ext cx="242522" cy="7549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20</xdr:row>
      <xdr:rowOff>148189</xdr:rowOff>
    </xdr:from>
    <xdr:to>
      <xdr:col>23</xdr:col>
      <xdr:colOff>83286</xdr:colOff>
      <xdr:row>21</xdr:row>
      <xdr:rowOff>80963</xdr:rowOff>
    </xdr:to>
    <xdr:cxnSp macro="">
      <xdr:nvCxnSpPr>
        <xdr:cNvPr id="1277" name="Straight Arrow Connector 1276">
          <a:extLst>
            <a:ext uri="{FF2B5EF4-FFF2-40B4-BE49-F238E27FC236}">
              <a16:creationId xmlns:a16="http://schemas.microsoft.com/office/drawing/2014/main" id="{00000000-0008-0000-0000-0000FD040000}"/>
            </a:ext>
          </a:extLst>
        </xdr:cNvPr>
        <xdr:cNvCxnSpPr/>
      </xdr:nvCxnSpPr>
      <xdr:spPr>
        <a:xfrm flipV="1">
          <a:off x="6934200" y="3529564"/>
          <a:ext cx="235686" cy="9469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152400</xdr:colOff>
      <xdr:row>20</xdr:row>
      <xdr:rowOff>134709</xdr:rowOff>
    </xdr:from>
    <xdr:to>
      <xdr:col>24</xdr:col>
      <xdr:colOff>77412</xdr:colOff>
      <xdr:row>21</xdr:row>
      <xdr:rowOff>80963</xdr:rowOff>
    </xdr:to>
    <xdr:cxnSp macro="">
      <xdr:nvCxnSpPr>
        <xdr:cNvPr id="1278" name="Straight Arrow Connector 1277">
          <a:extLst>
            <a:ext uri="{FF2B5EF4-FFF2-40B4-BE49-F238E27FC236}">
              <a16:creationId xmlns:a16="http://schemas.microsoft.com/office/drawing/2014/main" id="{00000000-0008-0000-0000-0000FE040000}"/>
            </a:ext>
          </a:extLst>
        </xdr:cNvPr>
        <xdr:cNvCxnSpPr/>
      </xdr:nvCxnSpPr>
      <xdr:spPr>
        <a:xfrm flipV="1">
          <a:off x="7239000" y="3516084"/>
          <a:ext cx="229812" cy="10817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20</xdr:row>
      <xdr:rowOff>123948</xdr:rowOff>
    </xdr:from>
    <xdr:to>
      <xdr:col>25</xdr:col>
      <xdr:colOff>72031</xdr:colOff>
      <xdr:row>21</xdr:row>
      <xdr:rowOff>80963</xdr:rowOff>
    </xdr:to>
    <xdr:cxnSp macro="">
      <xdr:nvCxnSpPr>
        <xdr:cNvPr id="1279" name="Straight Arrow Connector 1278">
          <a:extLst>
            <a:ext uri="{FF2B5EF4-FFF2-40B4-BE49-F238E27FC236}">
              <a16:creationId xmlns:a16="http://schemas.microsoft.com/office/drawing/2014/main" id="{00000000-0008-0000-0000-0000FF040000}"/>
            </a:ext>
          </a:extLst>
        </xdr:cNvPr>
        <xdr:cNvCxnSpPr/>
      </xdr:nvCxnSpPr>
      <xdr:spPr>
        <a:xfrm flipV="1">
          <a:off x="7543800" y="3505323"/>
          <a:ext cx="224431" cy="11894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20</xdr:row>
      <xdr:rowOff>113440</xdr:rowOff>
    </xdr:from>
    <xdr:to>
      <xdr:col>26</xdr:col>
      <xdr:colOff>66139</xdr:colOff>
      <xdr:row>21</xdr:row>
      <xdr:rowOff>80963</xdr:rowOff>
    </xdr:to>
    <xdr:cxnSp macro="">
      <xdr:nvCxnSpPr>
        <xdr:cNvPr id="1280" name="Straight Arrow Connector 1279">
          <a:extLst>
            <a:ext uri="{FF2B5EF4-FFF2-40B4-BE49-F238E27FC236}">
              <a16:creationId xmlns:a16="http://schemas.microsoft.com/office/drawing/2014/main" id="{00000000-0008-0000-0000-000000050000}"/>
            </a:ext>
          </a:extLst>
        </xdr:cNvPr>
        <xdr:cNvCxnSpPr/>
      </xdr:nvCxnSpPr>
      <xdr:spPr>
        <a:xfrm flipV="1">
          <a:off x="7848600" y="3494815"/>
          <a:ext cx="218539" cy="12944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152400</xdr:colOff>
      <xdr:row>20</xdr:row>
      <xdr:rowOff>100503</xdr:rowOff>
    </xdr:from>
    <xdr:to>
      <xdr:col>27</xdr:col>
      <xdr:colOff>57939</xdr:colOff>
      <xdr:row>21</xdr:row>
      <xdr:rowOff>80963</xdr:rowOff>
    </xdr:to>
    <xdr:cxnSp macro="">
      <xdr:nvCxnSpPr>
        <xdr:cNvPr id="1281" name="Straight Arrow Connector 1280">
          <a:extLst>
            <a:ext uri="{FF2B5EF4-FFF2-40B4-BE49-F238E27FC236}">
              <a16:creationId xmlns:a16="http://schemas.microsoft.com/office/drawing/2014/main" id="{00000000-0008-0000-0000-000001050000}"/>
            </a:ext>
          </a:extLst>
        </xdr:cNvPr>
        <xdr:cNvCxnSpPr/>
      </xdr:nvCxnSpPr>
      <xdr:spPr>
        <a:xfrm flipV="1">
          <a:off x="8153400" y="3481878"/>
          <a:ext cx="210339" cy="14238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152400</xdr:colOff>
      <xdr:row>20</xdr:row>
      <xdr:rowOff>81591</xdr:rowOff>
    </xdr:from>
    <xdr:to>
      <xdr:col>28</xdr:col>
      <xdr:colOff>43813</xdr:colOff>
      <xdr:row>21</xdr:row>
      <xdr:rowOff>80963</xdr:rowOff>
    </xdr:to>
    <xdr:cxnSp macro="">
      <xdr:nvCxnSpPr>
        <xdr:cNvPr id="1282" name="Straight Arrow Connector 1281">
          <a:extLst>
            <a:ext uri="{FF2B5EF4-FFF2-40B4-BE49-F238E27FC236}">
              <a16:creationId xmlns:a16="http://schemas.microsoft.com/office/drawing/2014/main" id="{00000000-0008-0000-0000-000002050000}"/>
            </a:ext>
          </a:extLst>
        </xdr:cNvPr>
        <xdr:cNvCxnSpPr/>
      </xdr:nvCxnSpPr>
      <xdr:spPr>
        <a:xfrm flipV="1">
          <a:off x="8458200" y="3462966"/>
          <a:ext cx="196213" cy="16129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152400</xdr:colOff>
      <xdr:row>20</xdr:row>
      <xdr:rowOff>52271</xdr:rowOff>
    </xdr:from>
    <xdr:to>
      <xdr:col>29</xdr:col>
      <xdr:colOff>15473</xdr:colOff>
      <xdr:row>21</xdr:row>
      <xdr:rowOff>80963</xdr:rowOff>
    </xdr:to>
    <xdr:cxnSp macro="">
      <xdr:nvCxnSpPr>
        <xdr:cNvPr id="1283" name="Straight Arrow Connector 1282">
          <a:extLst>
            <a:ext uri="{FF2B5EF4-FFF2-40B4-BE49-F238E27FC236}">
              <a16:creationId xmlns:a16="http://schemas.microsoft.com/office/drawing/2014/main" id="{00000000-0008-0000-0000-000003050000}"/>
            </a:ext>
          </a:extLst>
        </xdr:cNvPr>
        <xdr:cNvCxnSpPr/>
      </xdr:nvCxnSpPr>
      <xdr:spPr>
        <a:xfrm flipV="1">
          <a:off x="8763000" y="3433646"/>
          <a:ext cx="167873" cy="19061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152400</xdr:colOff>
      <xdr:row>20</xdr:row>
      <xdr:rowOff>12676</xdr:rowOff>
    </xdr:from>
    <xdr:to>
      <xdr:col>29</xdr:col>
      <xdr:colOff>259725</xdr:colOff>
      <xdr:row>21</xdr:row>
      <xdr:rowOff>80963</xdr:rowOff>
    </xdr:to>
    <xdr:cxnSp macro="">
      <xdr:nvCxnSpPr>
        <xdr:cNvPr id="1284" name="Straight Arrow Connector 1283">
          <a:extLst>
            <a:ext uri="{FF2B5EF4-FFF2-40B4-BE49-F238E27FC236}">
              <a16:creationId xmlns:a16="http://schemas.microsoft.com/office/drawing/2014/main" id="{00000000-0008-0000-0000-000004050000}"/>
            </a:ext>
          </a:extLst>
        </xdr:cNvPr>
        <xdr:cNvCxnSpPr/>
      </xdr:nvCxnSpPr>
      <xdr:spPr>
        <a:xfrm flipV="1">
          <a:off x="9067800" y="3394051"/>
          <a:ext cx="107325" cy="23021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152400</xdr:colOff>
      <xdr:row>19</xdr:row>
      <xdr:rowOff>157629</xdr:rowOff>
    </xdr:from>
    <xdr:to>
      <xdr:col>30</xdr:col>
      <xdr:colOff>210849</xdr:colOff>
      <xdr:row>21</xdr:row>
      <xdr:rowOff>80963</xdr:rowOff>
    </xdr:to>
    <xdr:cxnSp macro="">
      <xdr:nvCxnSpPr>
        <xdr:cNvPr id="1285" name="Straight Arrow Connector 1284">
          <a:extLst>
            <a:ext uri="{FF2B5EF4-FFF2-40B4-BE49-F238E27FC236}">
              <a16:creationId xmlns:a16="http://schemas.microsoft.com/office/drawing/2014/main" id="{00000000-0008-0000-0000-000005050000}"/>
            </a:ext>
          </a:extLst>
        </xdr:cNvPr>
        <xdr:cNvCxnSpPr/>
      </xdr:nvCxnSpPr>
      <xdr:spPr>
        <a:xfrm flipV="1">
          <a:off x="9372600" y="3377079"/>
          <a:ext cx="58449" cy="24718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22</xdr:row>
      <xdr:rowOff>80963</xdr:rowOff>
    </xdr:from>
    <xdr:to>
      <xdr:col>3</xdr:col>
      <xdr:colOff>101595</xdr:colOff>
      <xdr:row>22</xdr:row>
      <xdr:rowOff>82583</xdr:rowOff>
    </xdr:to>
    <xdr:cxnSp macro="">
      <xdr:nvCxnSpPr>
        <xdr:cNvPr id="1286" name="Straight Arrow Connector 1285">
          <a:extLst>
            <a:ext uri="{FF2B5EF4-FFF2-40B4-BE49-F238E27FC236}">
              <a16:creationId xmlns:a16="http://schemas.microsoft.com/office/drawing/2014/main" id="{00000000-0008-0000-0000-000006050000}"/>
            </a:ext>
          </a:extLst>
        </xdr:cNvPr>
        <xdr:cNvCxnSpPr/>
      </xdr:nvCxnSpPr>
      <xdr:spPr>
        <a:xfrm>
          <a:off x="838200" y="3786188"/>
          <a:ext cx="253995" cy="162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152400</xdr:colOff>
      <xdr:row>22</xdr:row>
      <xdr:rowOff>80963</xdr:rowOff>
    </xdr:from>
    <xdr:to>
      <xdr:col>3</xdr:col>
      <xdr:colOff>303085</xdr:colOff>
      <xdr:row>23</xdr:row>
      <xdr:rowOff>123512</xdr:rowOff>
    </xdr:to>
    <xdr:cxnSp macro="">
      <xdr:nvCxnSpPr>
        <xdr:cNvPr id="1287" name="Straight Arrow Connector 1286">
          <a:extLst>
            <a:ext uri="{FF2B5EF4-FFF2-40B4-BE49-F238E27FC236}">
              <a16:creationId xmlns:a16="http://schemas.microsoft.com/office/drawing/2014/main" id="{00000000-0008-0000-0000-000007050000}"/>
            </a:ext>
          </a:extLst>
        </xdr:cNvPr>
        <xdr:cNvCxnSpPr/>
      </xdr:nvCxnSpPr>
      <xdr:spPr>
        <a:xfrm>
          <a:off x="1143000" y="3786188"/>
          <a:ext cx="150685" cy="20447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152400</xdr:colOff>
      <xdr:row>22</xdr:row>
      <xdr:rowOff>80963</xdr:rowOff>
    </xdr:from>
    <xdr:to>
      <xdr:col>5</xdr:col>
      <xdr:colOff>53894</xdr:colOff>
      <xdr:row>23</xdr:row>
      <xdr:rowOff>67223</xdr:rowOff>
    </xdr:to>
    <xdr:cxnSp macro="">
      <xdr:nvCxnSpPr>
        <xdr:cNvPr id="1288" name="Straight Arrow Connector 1287">
          <a:extLst>
            <a:ext uri="{FF2B5EF4-FFF2-40B4-BE49-F238E27FC236}">
              <a16:creationId xmlns:a16="http://schemas.microsoft.com/office/drawing/2014/main" id="{00000000-0008-0000-0000-000008050000}"/>
            </a:ext>
          </a:extLst>
        </xdr:cNvPr>
        <xdr:cNvCxnSpPr/>
      </xdr:nvCxnSpPr>
      <xdr:spPr>
        <a:xfrm>
          <a:off x="1447800" y="3786188"/>
          <a:ext cx="206294" cy="14818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22</xdr:row>
      <xdr:rowOff>80963</xdr:rowOff>
    </xdr:from>
    <xdr:to>
      <xdr:col>6</xdr:col>
      <xdr:colOff>72946</xdr:colOff>
      <xdr:row>23</xdr:row>
      <xdr:rowOff>36235</xdr:rowOff>
    </xdr:to>
    <xdr:cxnSp macro="">
      <xdr:nvCxnSpPr>
        <xdr:cNvPr id="1289" name="Straight Arrow Connector 1288">
          <a:extLst>
            <a:ext uri="{FF2B5EF4-FFF2-40B4-BE49-F238E27FC236}">
              <a16:creationId xmlns:a16="http://schemas.microsoft.com/office/drawing/2014/main" id="{00000000-0008-0000-0000-000009050000}"/>
            </a:ext>
          </a:extLst>
        </xdr:cNvPr>
        <xdr:cNvCxnSpPr/>
      </xdr:nvCxnSpPr>
      <xdr:spPr>
        <a:xfrm>
          <a:off x="1752600" y="3786188"/>
          <a:ext cx="225346" cy="11719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22</xdr:row>
      <xdr:rowOff>80963</xdr:rowOff>
    </xdr:from>
    <xdr:to>
      <xdr:col>7</xdr:col>
      <xdr:colOff>81080</xdr:colOff>
      <xdr:row>23</xdr:row>
      <xdr:rowOff>19054</xdr:rowOff>
    </xdr:to>
    <xdr:cxnSp macro="">
      <xdr:nvCxnSpPr>
        <xdr:cNvPr id="1290" name="Straight Arrow Connector 1289">
          <a:extLst>
            <a:ext uri="{FF2B5EF4-FFF2-40B4-BE49-F238E27FC236}">
              <a16:creationId xmlns:a16="http://schemas.microsoft.com/office/drawing/2014/main" id="{00000000-0008-0000-0000-00000A050000}"/>
            </a:ext>
          </a:extLst>
        </xdr:cNvPr>
        <xdr:cNvCxnSpPr/>
      </xdr:nvCxnSpPr>
      <xdr:spPr>
        <a:xfrm>
          <a:off x="2057400" y="3786188"/>
          <a:ext cx="233480" cy="10001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152400</xdr:colOff>
      <xdr:row>22</xdr:row>
      <xdr:rowOff>80963</xdr:rowOff>
    </xdr:from>
    <xdr:to>
      <xdr:col>8</xdr:col>
      <xdr:colOff>85424</xdr:colOff>
      <xdr:row>23</xdr:row>
      <xdr:rowOff>8232</xdr:rowOff>
    </xdr:to>
    <xdr:cxnSp macro="">
      <xdr:nvCxnSpPr>
        <xdr:cNvPr id="1291" name="Straight Arrow Connector 1290">
          <a:extLst>
            <a:ext uri="{FF2B5EF4-FFF2-40B4-BE49-F238E27FC236}">
              <a16:creationId xmlns:a16="http://schemas.microsoft.com/office/drawing/2014/main" id="{00000000-0008-0000-0000-00000B050000}"/>
            </a:ext>
          </a:extLst>
        </xdr:cNvPr>
        <xdr:cNvCxnSpPr/>
      </xdr:nvCxnSpPr>
      <xdr:spPr>
        <a:xfrm>
          <a:off x="2362200" y="3786188"/>
          <a:ext cx="237824" cy="8919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152400</xdr:colOff>
      <xdr:row>22</xdr:row>
      <xdr:rowOff>80963</xdr:rowOff>
    </xdr:from>
    <xdr:to>
      <xdr:col>9</xdr:col>
      <xdr:colOff>88382</xdr:colOff>
      <xdr:row>22</xdr:row>
      <xdr:rowOff>161834</xdr:rowOff>
    </xdr:to>
    <xdr:cxnSp macro="">
      <xdr:nvCxnSpPr>
        <xdr:cNvPr id="1292" name="Straight Arrow Connector 1291">
          <a:extLst>
            <a:ext uri="{FF2B5EF4-FFF2-40B4-BE49-F238E27FC236}">
              <a16:creationId xmlns:a16="http://schemas.microsoft.com/office/drawing/2014/main" id="{00000000-0008-0000-0000-00000C050000}"/>
            </a:ext>
          </a:extLst>
        </xdr:cNvPr>
        <xdr:cNvCxnSpPr/>
      </xdr:nvCxnSpPr>
      <xdr:spPr>
        <a:xfrm>
          <a:off x="2667000" y="3786188"/>
          <a:ext cx="240782" cy="8087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22</xdr:row>
      <xdr:rowOff>80963</xdr:rowOff>
    </xdr:from>
    <xdr:to>
      <xdr:col>10</xdr:col>
      <xdr:colOff>90971</xdr:colOff>
      <xdr:row>22</xdr:row>
      <xdr:rowOff>153670</xdr:rowOff>
    </xdr:to>
    <xdr:cxnSp macro="">
      <xdr:nvCxnSpPr>
        <xdr:cNvPr id="1293" name="Straight Arrow Connector 1292">
          <a:extLst>
            <a:ext uri="{FF2B5EF4-FFF2-40B4-BE49-F238E27FC236}">
              <a16:creationId xmlns:a16="http://schemas.microsoft.com/office/drawing/2014/main" id="{00000000-0008-0000-0000-00000D050000}"/>
            </a:ext>
          </a:extLst>
        </xdr:cNvPr>
        <xdr:cNvCxnSpPr/>
      </xdr:nvCxnSpPr>
      <xdr:spPr>
        <a:xfrm>
          <a:off x="2971800" y="3786188"/>
          <a:ext cx="243371" cy="7270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22</xdr:row>
      <xdr:rowOff>80963</xdr:rowOff>
    </xdr:from>
    <xdr:to>
      <xdr:col>11</xdr:col>
      <xdr:colOff>93674</xdr:colOff>
      <xdr:row>22</xdr:row>
      <xdr:rowOff>143920</xdr:rowOff>
    </xdr:to>
    <xdr:cxnSp macro="">
      <xdr:nvCxnSpPr>
        <xdr:cNvPr id="1294" name="Straight Arrow Connector 1293">
          <a:extLst>
            <a:ext uri="{FF2B5EF4-FFF2-40B4-BE49-F238E27FC236}">
              <a16:creationId xmlns:a16="http://schemas.microsoft.com/office/drawing/2014/main" id="{00000000-0008-0000-0000-00000E050000}"/>
            </a:ext>
          </a:extLst>
        </xdr:cNvPr>
        <xdr:cNvCxnSpPr/>
      </xdr:nvCxnSpPr>
      <xdr:spPr>
        <a:xfrm>
          <a:off x="3276600" y="3786188"/>
          <a:ext cx="246074" cy="6295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152400</xdr:colOff>
      <xdr:row>22</xdr:row>
      <xdr:rowOff>80963</xdr:rowOff>
    </xdr:from>
    <xdr:to>
      <xdr:col>12</xdr:col>
      <xdr:colOff>96579</xdr:colOff>
      <xdr:row>22</xdr:row>
      <xdr:rowOff>131218</xdr:rowOff>
    </xdr:to>
    <xdr:cxnSp macro="">
      <xdr:nvCxnSpPr>
        <xdr:cNvPr id="1295" name="Straight Arrow Connector 1294">
          <a:extLst>
            <a:ext uri="{FF2B5EF4-FFF2-40B4-BE49-F238E27FC236}">
              <a16:creationId xmlns:a16="http://schemas.microsoft.com/office/drawing/2014/main" id="{00000000-0008-0000-0000-00000F050000}"/>
            </a:ext>
          </a:extLst>
        </xdr:cNvPr>
        <xdr:cNvCxnSpPr/>
      </xdr:nvCxnSpPr>
      <xdr:spPr>
        <a:xfrm>
          <a:off x="3581400" y="3786188"/>
          <a:ext cx="248979" cy="5025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22</xdr:row>
      <xdr:rowOff>80963</xdr:rowOff>
    </xdr:from>
    <xdr:to>
      <xdr:col>13</xdr:col>
      <xdr:colOff>99226</xdr:colOff>
      <xdr:row>22</xdr:row>
      <xdr:rowOff>115607</xdr:rowOff>
    </xdr:to>
    <xdr:cxnSp macro="">
      <xdr:nvCxnSpPr>
        <xdr:cNvPr id="1296" name="Straight Arrow Connector 1295">
          <a:extLst>
            <a:ext uri="{FF2B5EF4-FFF2-40B4-BE49-F238E27FC236}">
              <a16:creationId xmlns:a16="http://schemas.microsoft.com/office/drawing/2014/main" id="{00000000-0008-0000-0000-000010050000}"/>
            </a:ext>
          </a:extLst>
        </xdr:cNvPr>
        <xdr:cNvCxnSpPr/>
      </xdr:nvCxnSpPr>
      <xdr:spPr>
        <a:xfrm>
          <a:off x="3886200" y="3786188"/>
          <a:ext cx="251626" cy="3464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152400</xdr:colOff>
      <xdr:row>22</xdr:row>
      <xdr:rowOff>80963</xdr:rowOff>
    </xdr:from>
    <xdr:to>
      <xdr:col>14</xdr:col>
      <xdr:colOff>100667</xdr:colOff>
      <xdr:row>22</xdr:row>
      <xdr:rowOff>102714</xdr:rowOff>
    </xdr:to>
    <xdr:cxnSp macro="">
      <xdr:nvCxnSpPr>
        <xdr:cNvPr id="1297" name="Straight Arrow Connector 1296">
          <a:extLst>
            <a:ext uri="{FF2B5EF4-FFF2-40B4-BE49-F238E27FC236}">
              <a16:creationId xmlns:a16="http://schemas.microsoft.com/office/drawing/2014/main" id="{00000000-0008-0000-0000-000011050000}"/>
            </a:ext>
          </a:extLst>
        </xdr:cNvPr>
        <xdr:cNvCxnSpPr/>
      </xdr:nvCxnSpPr>
      <xdr:spPr>
        <a:xfrm>
          <a:off x="4191000" y="3786188"/>
          <a:ext cx="253067" cy="2175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152400</xdr:colOff>
      <xdr:row>22</xdr:row>
      <xdr:rowOff>80963</xdr:rowOff>
    </xdr:from>
    <xdr:to>
      <xdr:col>15</xdr:col>
      <xdr:colOff>101297</xdr:colOff>
      <xdr:row>22</xdr:row>
      <xdr:rowOff>93360</xdr:rowOff>
    </xdr:to>
    <xdr:cxnSp macro="">
      <xdr:nvCxnSpPr>
        <xdr:cNvPr id="1298" name="Straight Arrow Connector 1297">
          <a:extLst>
            <a:ext uri="{FF2B5EF4-FFF2-40B4-BE49-F238E27FC236}">
              <a16:creationId xmlns:a16="http://schemas.microsoft.com/office/drawing/2014/main" id="{00000000-0008-0000-0000-000012050000}"/>
            </a:ext>
          </a:extLst>
        </xdr:cNvPr>
        <xdr:cNvCxnSpPr/>
      </xdr:nvCxnSpPr>
      <xdr:spPr>
        <a:xfrm>
          <a:off x="4495800" y="3786188"/>
          <a:ext cx="253697" cy="1239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22</xdr:row>
      <xdr:rowOff>80963</xdr:rowOff>
    </xdr:from>
    <xdr:to>
      <xdr:col>16</xdr:col>
      <xdr:colOff>101539</xdr:colOff>
      <xdr:row>22</xdr:row>
      <xdr:rowOff>86539</xdr:rowOff>
    </xdr:to>
    <xdr:cxnSp macro="">
      <xdr:nvCxnSpPr>
        <xdr:cNvPr id="1299" name="Straight Arrow Connector 1298">
          <a:extLst>
            <a:ext uri="{FF2B5EF4-FFF2-40B4-BE49-F238E27FC236}">
              <a16:creationId xmlns:a16="http://schemas.microsoft.com/office/drawing/2014/main" id="{00000000-0008-0000-0000-000013050000}"/>
            </a:ext>
          </a:extLst>
        </xdr:cNvPr>
        <xdr:cNvCxnSpPr/>
      </xdr:nvCxnSpPr>
      <xdr:spPr>
        <a:xfrm>
          <a:off x="4800600" y="3786188"/>
          <a:ext cx="253939" cy="557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22</xdr:row>
      <xdr:rowOff>80963</xdr:rowOff>
    </xdr:from>
    <xdr:to>
      <xdr:col>17</xdr:col>
      <xdr:colOff>101600</xdr:colOff>
      <xdr:row>22</xdr:row>
      <xdr:rowOff>80963</xdr:rowOff>
    </xdr:to>
    <xdr:cxnSp macro="">
      <xdr:nvCxnSpPr>
        <xdr:cNvPr id="1300" name="Straight Arrow Connector 1299">
          <a:extLst>
            <a:ext uri="{FF2B5EF4-FFF2-40B4-BE49-F238E27FC236}">
              <a16:creationId xmlns:a16="http://schemas.microsoft.com/office/drawing/2014/main" id="{00000000-0008-0000-0000-000014050000}"/>
            </a:ext>
          </a:extLst>
        </xdr:cNvPr>
        <xdr:cNvCxnSpPr/>
      </xdr:nvCxnSpPr>
      <xdr:spPr>
        <a:xfrm>
          <a:off x="5105400" y="3786188"/>
          <a:ext cx="254000" cy="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22</xdr:row>
      <xdr:rowOff>75387</xdr:rowOff>
    </xdr:from>
    <xdr:to>
      <xdr:col>18</xdr:col>
      <xdr:colOff>101539</xdr:colOff>
      <xdr:row>22</xdr:row>
      <xdr:rowOff>80963</xdr:rowOff>
    </xdr:to>
    <xdr:cxnSp macro="">
      <xdr:nvCxnSpPr>
        <xdr:cNvPr id="1301" name="Straight Arrow Connector 1300">
          <a:extLst>
            <a:ext uri="{FF2B5EF4-FFF2-40B4-BE49-F238E27FC236}">
              <a16:creationId xmlns:a16="http://schemas.microsoft.com/office/drawing/2014/main" id="{00000000-0008-0000-0000-000015050000}"/>
            </a:ext>
          </a:extLst>
        </xdr:cNvPr>
        <xdr:cNvCxnSpPr/>
      </xdr:nvCxnSpPr>
      <xdr:spPr>
        <a:xfrm flipV="1">
          <a:off x="5410200" y="3780612"/>
          <a:ext cx="253939" cy="557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152400</xdr:colOff>
      <xdr:row>22</xdr:row>
      <xdr:rowOff>68566</xdr:rowOff>
    </xdr:from>
    <xdr:to>
      <xdr:col>19</xdr:col>
      <xdr:colOff>101297</xdr:colOff>
      <xdr:row>22</xdr:row>
      <xdr:rowOff>80963</xdr:rowOff>
    </xdr:to>
    <xdr:cxnSp macro="">
      <xdr:nvCxnSpPr>
        <xdr:cNvPr id="1302" name="Straight Arrow Connector 1301">
          <a:extLst>
            <a:ext uri="{FF2B5EF4-FFF2-40B4-BE49-F238E27FC236}">
              <a16:creationId xmlns:a16="http://schemas.microsoft.com/office/drawing/2014/main" id="{00000000-0008-0000-0000-000016050000}"/>
            </a:ext>
          </a:extLst>
        </xdr:cNvPr>
        <xdr:cNvCxnSpPr/>
      </xdr:nvCxnSpPr>
      <xdr:spPr>
        <a:xfrm flipV="1">
          <a:off x="5715000" y="3773791"/>
          <a:ext cx="253697" cy="1239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152400</xdr:colOff>
      <xdr:row>22</xdr:row>
      <xdr:rowOff>59212</xdr:rowOff>
    </xdr:from>
    <xdr:to>
      <xdr:col>20</xdr:col>
      <xdr:colOff>100667</xdr:colOff>
      <xdr:row>22</xdr:row>
      <xdr:rowOff>80963</xdr:rowOff>
    </xdr:to>
    <xdr:cxnSp macro="">
      <xdr:nvCxnSpPr>
        <xdr:cNvPr id="1303" name="Straight Arrow Connector 1302">
          <a:extLst>
            <a:ext uri="{FF2B5EF4-FFF2-40B4-BE49-F238E27FC236}">
              <a16:creationId xmlns:a16="http://schemas.microsoft.com/office/drawing/2014/main" id="{00000000-0008-0000-0000-000017050000}"/>
            </a:ext>
          </a:extLst>
        </xdr:cNvPr>
        <xdr:cNvCxnSpPr/>
      </xdr:nvCxnSpPr>
      <xdr:spPr>
        <a:xfrm flipV="1">
          <a:off x="6019800" y="3764437"/>
          <a:ext cx="253067" cy="2175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22</xdr:row>
      <xdr:rowOff>46320</xdr:rowOff>
    </xdr:from>
    <xdr:to>
      <xdr:col>21</xdr:col>
      <xdr:colOff>99227</xdr:colOff>
      <xdr:row>22</xdr:row>
      <xdr:rowOff>80963</xdr:rowOff>
    </xdr:to>
    <xdr:cxnSp macro="">
      <xdr:nvCxnSpPr>
        <xdr:cNvPr id="1304" name="Straight Arrow Connector 1303">
          <a:extLst>
            <a:ext uri="{FF2B5EF4-FFF2-40B4-BE49-F238E27FC236}">
              <a16:creationId xmlns:a16="http://schemas.microsoft.com/office/drawing/2014/main" id="{00000000-0008-0000-0000-000018050000}"/>
            </a:ext>
          </a:extLst>
        </xdr:cNvPr>
        <xdr:cNvCxnSpPr/>
      </xdr:nvCxnSpPr>
      <xdr:spPr>
        <a:xfrm flipV="1">
          <a:off x="6324600" y="3751545"/>
          <a:ext cx="251627" cy="3464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22</xdr:row>
      <xdr:rowOff>30709</xdr:rowOff>
    </xdr:from>
    <xdr:to>
      <xdr:col>22</xdr:col>
      <xdr:colOff>96579</xdr:colOff>
      <xdr:row>22</xdr:row>
      <xdr:rowOff>80963</xdr:rowOff>
    </xdr:to>
    <xdr:cxnSp macro="">
      <xdr:nvCxnSpPr>
        <xdr:cNvPr id="1305" name="Straight Arrow Connector 1304">
          <a:extLst>
            <a:ext uri="{FF2B5EF4-FFF2-40B4-BE49-F238E27FC236}">
              <a16:creationId xmlns:a16="http://schemas.microsoft.com/office/drawing/2014/main" id="{00000000-0008-0000-0000-000019050000}"/>
            </a:ext>
          </a:extLst>
        </xdr:cNvPr>
        <xdr:cNvCxnSpPr/>
      </xdr:nvCxnSpPr>
      <xdr:spPr>
        <a:xfrm flipV="1">
          <a:off x="6629400" y="3735934"/>
          <a:ext cx="248979" cy="5025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22</xdr:row>
      <xdr:rowOff>18007</xdr:rowOff>
    </xdr:from>
    <xdr:to>
      <xdr:col>23</xdr:col>
      <xdr:colOff>93674</xdr:colOff>
      <xdr:row>22</xdr:row>
      <xdr:rowOff>80963</xdr:rowOff>
    </xdr:to>
    <xdr:cxnSp macro="">
      <xdr:nvCxnSpPr>
        <xdr:cNvPr id="1306" name="Straight Arrow Connector 1305">
          <a:extLst>
            <a:ext uri="{FF2B5EF4-FFF2-40B4-BE49-F238E27FC236}">
              <a16:creationId xmlns:a16="http://schemas.microsoft.com/office/drawing/2014/main" id="{00000000-0008-0000-0000-00001A050000}"/>
            </a:ext>
          </a:extLst>
        </xdr:cNvPr>
        <xdr:cNvCxnSpPr/>
      </xdr:nvCxnSpPr>
      <xdr:spPr>
        <a:xfrm flipV="1">
          <a:off x="6934200" y="3723232"/>
          <a:ext cx="246074" cy="6295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152400</xdr:colOff>
      <xdr:row>22</xdr:row>
      <xdr:rowOff>8257</xdr:rowOff>
    </xdr:from>
    <xdr:to>
      <xdr:col>24</xdr:col>
      <xdr:colOff>90972</xdr:colOff>
      <xdr:row>22</xdr:row>
      <xdr:rowOff>80963</xdr:rowOff>
    </xdr:to>
    <xdr:cxnSp macro="">
      <xdr:nvCxnSpPr>
        <xdr:cNvPr id="1307" name="Straight Arrow Connector 1306">
          <a:extLst>
            <a:ext uri="{FF2B5EF4-FFF2-40B4-BE49-F238E27FC236}">
              <a16:creationId xmlns:a16="http://schemas.microsoft.com/office/drawing/2014/main" id="{00000000-0008-0000-0000-00001B050000}"/>
            </a:ext>
          </a:extLst>
        </xdr:cNvPr>
        <xdr:cNvCxnSpPr/>
      </xdr:nvCxnSpPr>
      <xdr:spPr>
        <a:xfrm flipV="1">
          <a:off x="7239000" y="3713482"/>
          <a:ext cx="243372" cy="7270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22</xdr:row>
      <xdr:rowOff>94</xdr:rowOff>
    </xdr:from>
    <xdr:to>
      <xdr:col>25</xdr:col>
      <xdr:colOff>88382</xdr:colOff>
      <xdr:row>22</xdr:row>
      <xdr:rowOff>80963</xdr:rowOff>
    </xdr:to>
    <xdr:cxnSp macro="">
      <xdr:nvCxnSpPr>
        <xdr:cNvPr id="1308" name="Straight Arrow Connector 1307">
          <a:extLst>
            <a:ext uri="{FF2B5EF4-FFF2-40B4-BE49-F238E27FC236}">
              <a16:creationId xmlns:a16="http://schemas.microsoft.com/office/drawing/2014/main" id="{00000000-0008-0000-0000-00001C050000}"/>
            </a:ext>
          </a:extLst>
        </xdr:cNvPr>
        <xdr:cNvCxnSpPr/>
      </xdr:nvCxnSpPr>
      <xdr:spPr>
        <a:xfrm flipV="1">
          <a:off x="7543800" y="3705319"/>
          <a:ext cx="240782" cy="8086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21</xdr:row>
      <xdr:rowOff>153696</xdr:rowOff>
    </xdr:from>
    <xdr:to>
      <xdr:col>26</xdr:col>
      <xdr:colOff>85425</xdr:colOff>
      <xdr:row>22</xdr:row>
      <xdr:rowOff>80963</xdr:rowOff>
    </xdr:to>
    <xdr:cxnSp macro="">
      <xdr:nvCxnSpPr>
        <xdr:cNvPr id="1309" name="Straight Arrow Connector 1308">
          <a:extLst>
            <a:ext uri="{FF2B5EF4-FFF2-40B4-BE49-F238E27FC236}">
              <a16:creationId xmlns:a16="http://schemas.microsoft.com/office/drawing/2014/main" id="{00000000-0008-0000-0000-00001D050000}"/>
            </a:ext>
          </a:extLst>
        </xdr:cNvPr>
        <xdr:cNvCxnSpPr/>
      </xdr:nvCxnSpPr>
      <xdr:spPr>
        <a:xfrm flipV="1">
          <a:off x="7848600" y="3696996"/>
          <a:ext cx="237825" cy="8919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152400</xdr:colOff>
      <xdr:row>21</xdr:row>
      <xdr:rowOff>142875</xdr:rowOff>
    </xdr:from>
    <xdr:to>
      <xdr:col>27</xdr:col>
      <xdr:colOff>81081</xdr:colOff>
      <xdr:row>22</xdr:row>
      <xdr:rowOff>80963</xdr:rowOff>
    </xdr:to>
    <xdr:cxnSp macro="">
      <xdr:nvCxnSpPr>
        <xdr:cNvPr id="1310" name="Straight Arrow Connector 1309">
          <a:extLst>
            <a:ext uri="{FF2B5EF4-FFF2-40B4-BE49-F238E27FC236}">
              <a16:creationId xmlns:a16="http://schemas.microsoft.com/office/drawing/2014/main" id="{00000000-0008-0000-0000-00001E050000}"/>
            </a:ext>
          </a:extLst>
        </xdr:cNvPr>
        <xdr:cNvCxnSpPr/>
      </xdr:nvCxnSpPr>
      <xdr:spPr>
        <a:xfrm flipV="1">
          <a:off x="8153400" y="3686175"/>
          <a:ext cx="233481" cy="10001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152400</xdr:colOff>
      <xdr:row>21</xdr:row>
      <xdr:rowOff>125695</xdr:rowOff>
    </xdr:from>
    <xdr:to>
      <xdr:col>28</xdr:col>
      <xdr:colOff>72949</xdr:colOff>
      <xdr:row>22</xdr:row>
      <xdr:rowOff>80963</xdr:rowOff>
    </xdr:to>
    <xdr:cxnSp macro="">
      <xdr:nvCxnSpPr>
        <xdr:cNvPr id="1311" name="Straight Arrow Connector 1310">
          <a:extLst>
            <a:ext uri="{FF2B5EF4-FFF2-40B4-BE49-F238E27FC236}">
              <a16:creationId xmlns:a16="http://schemas.microsoft.com/office/drawing/2014/main" id="{00000000-0008-0000-0000-00001F050000}"/>
            </a:ext>
          </a:extLst>
        </xdr:cNvPr>
        <xdr:cNvCxnSpPr/>
      </xdr:nvCxnSpPr>
      <xdr:spPr>
        <a:xfrm flipV="1">
          <a:off x="8458200" y="3668995"/>
          <a:ext cx="225349" cy="11719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152400</xdr:colOff>
      <xdr:row>21</xdr:row>
      <xdr:rowOff>94709</xdr:rowOff>
    </xdr:from>
    <xdr:to>
      <xdr:col>29</xdr:col>
      <xdr:colOff>53898</xdr:colOff>
      <xdr:row>22</xdr:row>
      <xdr:rowOff>80963</xdr:rowOff>
    </xdr:to>
    <xdr:cxnSp macro="">
      <xdr:nvCxnSpPr>
        <xdr:cNvPr id="1312" name="Straight Arrow Connector 1311">
          <a:extLst>
            <a:ext uri="{FF2B5EF4-FFF2-40B4-BE49-F238E27FC236}">
              <a16:creationId xmlns:a16="http://schemas.microsoft.com/office/drawing/2014/main" id="{00000000-0008-0000-0000-000020050000}"/>
            </a:ext>
          </a:extLst>
        </xdr:cNvPr>
        <xdr:cNvCxnSpPr/>
      </xdr:nvCxnSpPr>
      <xdr:spPr>
        <a:xfrm flipV="1">
          <a:off x="8763000" y="3638009"/>
          <a:ext cx="206298" cy="14817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152400</xdr:colOff>
      <xdr:row>21</xdr:row>
      <xdr:rowOff>38417</xdr:rowOff>
    </xdr:from>
    <xdr:to>
      <xdr:col>29</xdr:col>
      <xdr:colOff>303092</xdr:colOff>
      <xdr:row>22</xdr:row>
      <xdr:rowOff>80963</xdr:rowOff>
    </xdr:to>
    <xdr:cxnSp macro="">
      <xdr:nvCxnSpPr>
        <xdr:cNvPr id="1313" name="Straight Arrow Connector 1312">
          <a:extLst>
            <a:ext uri="{FF2B5EF4-FFF2-40B4-BE49-F238E27FC236}">
              <a16:creationId xmlns:a16="http://schemas.microsoft.com/office/drawing/2014/main" id="{00000000-0008-0000-0000-000021050000}"/>
            </a:ext>
          </a:extLst>
        </xdr:cNvPr>
        <xdr:cNvCxnSpPr/>
      </xdr:nvCxnSpPr>
      <xdr:spPr>
        <a:xfrm flipV="1">
          <a:off x="9067800" y="3581717"/>
          <a:ext cx="150692" cy="20447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152400</xdr:colOff>
      <xdr:row>21</xdr:row>
      <xdr:rowOff>4982</xdr:rowOff>
    </xdr:from>
    <xdr:to>
      <xdr:col>30</xdr:col>
      <xdr:colOff>241378</xdr:colOff>
      <xdr:row>22</xdr:row>
      <xdr:rowOff>80963</xdr:rowOff>
    </xdr:to>
    <xdr:cxnSp macro="">
      <xdr:nvCxnSpPr>
        <xdr:cNvPr id="1314" name="Straight Arrow Connector 1313">
          <a:extLst>
            <a:ext uri="{FF2B5EF4-FFF2-40B4-BE49-F238E27FC236}">
              <a16:creationId xmlns:a16="http://schemas.microsoft.com/office/drawing/2014/main" id="{00000000-0008-0000-0000-000022050000}"/>
            </a:ext>
          </a:extLst>
        </xdr:cNvPr>
        <xdr:cNvCxnSpPr/>
      </xdr:nvCxnSpPr>
      <xdr:spPr>
        <a:xfrm flipV="1">
          <a:off x="9372600" y="3548282"/>
          <a:ext cx="88978" cy="23790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23</xdr:row>
      <xdr:rowOff>80963</xdr:rowOff>
    </xdr:from>
    <xdr:to>
      <xdr:col>3</xdr:col>
      <xdr:colOff>101596</xdr:colOff>
      <xdr:row>23</xdr:row>
      <xdr:rowOff>82421</xdr:rowOff>
    </xdr:to>
    <xdr:cxnSp macro="">
      <xdr:nvCxnSpPr>
        <xdr:cNvPr id="1315" name="Straight Arrow Connector 1314">
          <a:extLst>
            <a:ext uri="{FF2B5EF4-FFF2-40B4-BE49-F238E27FC236}">
              <a16:creationId xmlns:a16="http://schemas.microsoft.com/office/drawing/2014/main" id="{00000000-0008-0000-0000-000023050000}"/>
            </a:ext>
          </a:extLst>
        </xdr:cNvPr>
        <xdr:cNvCxnSpPr/>
      </xdr:nvCxnSpPr>
      <xdr:spPr>
        <a:xfrm>
          <a:off x="838200" y="3948113"/>
          <a:ext cx="253996" cy="145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152400</xdr:colOff>
      <xdr:row>23</xdr:row>
      <xdr:rowOff>80963</xdr:rowOff>
    </xdr:from>
    <xdr:to>
      <xdr:col>4</xdr:col>
      <xdr:colOff>48907</xdr:colOff>
      <xdr:row>24</xdr:row>
      <xdr:rowOff>73929</xdr:rowOff>
    </xdr:to>
    <xdr:cxnSp macro="">
      <xdr:nvCxnSpPr>
        <xdr:cNvPr id="1316" name="Straight Arrow Connector 1315">
          <a:extLst>
            <a:ext uri="{FF2B5EF4-FFF2-40B4-BE49-F238E27FC236}">
              <a16:creationId xmlns:a16="http://schemas.microsoft.com/office/drawing/2014/main" id="{00000000-0008-0000-0000-000024050000}"/>
            </a:ext>
          </a:extLst>
        </xdr:cNvPr>
        <xdr:cNvCxnSpPr/>
      </xdr:nvCxnSpPr>
      <xdr:spPr>
        <a:xfrm>
          <a:off x="1143000" y="3948113"/>
          <a:ext cx="201307" cy="15489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152400</xdr:colOff>
      <xdr:row>23</xdr:row>
      <xdr:rowOff>80963</xdr:rowOff>
    </xdr:from>
    <xdr:to>
      <xdr:col>5</xdr:col>
      <xdr:colOff>82854</xdr:colOff>
      <xdr:row>24</xdr:row>
      <xdr:rowOff>14806</xdr:rowOff>
    </xdr:to>
    <xdr:cxnSp macro="">
      <xdr:nvCxnSpPr>
        <xdr:cNvPr id="1317" name="Straight Arrow Connector 1316">
          <a:extLst>
            <a:ext uri="{FF2B5EF4-FFF2-40B4-BE49-F238E27FC236}">
              <a16:creationId xmlns:a16="http://schemas.microsoft.com/office/drawing/2014/main" id="{00000000-0008-0000-0000-000025050000}"/>
            </a:ext>
          </a:extLst>
        </xdr:cNvPr>
        <xdr:cNvCxnSpPr/>
      </xdr:nvCxnSpPr>
      <xdr:spPr>
        <a:xfrm>
          <a:off x="1447800" y="3948113"/>
          <a:ext cx="235254" cy="9576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23</xdr:row>
      <xdr:rowOff>80963</xdr:rowOff>
    </xdr:from>
    <xdr:to>
      <xdr:col>6</xdr:col>
      <xdr:colOff>91255</xdr:colOff>
      <xdr:row>23</xdr:row>
      <xdr:rowOff>152712</xdr:rowOff>
    </xdr:to>
    <xdr:cxnSp macro="">
      <xdr:nvCxnSpPr>
        <xdr:cNvPr id="1318" name="Straight Arrow Connector 1317">
          <a:extLst>
            <a:ext uri="{FF2B5EF4-FFF2-40B4-BE49-F238E27FC236}">
              <a16:creationId xmlns:a16="http://schemas.microsoft.com/office/drawing/2014/main" id="{00000000-0008-0000-0000-000026050000}"/>
            </a:ext>
          </a:extLst>
        </xdr:cNvPr>
        <xdr:cNvCxnSpPr/>
      </xdr:nvCxnSpPr>
      <xdr:spPr>
        <a:xfrm>
          <a:off x="1752600" y="3948113"/>
          <a:ext cx="243655" cy="7174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23</xdr:row>
      <xdr:rowOff>80963</xdr:rowOff>
    </xdr:from>
    <xdr:to>
      <xdr:col>7</xdr:col>
      <xdr:colOff>94461</xdr:colOff>
      <xdr:row>23</xdr:row>
      <xdr:rowOff>140758</xdr:rowOff>
    </xdr:to>
    <xdr:cxnSp macro="">
      <xdr:nvCxnSpPr>
        <xdr:cNvPr id="1319" name="Straight Arrow Connector 1318">
          <a:extLst>
            <a:ext uri="{FF2B5EF4-FFF2-40B4-BE49-F238E27FC236}">
              <a16:creationId xmlns:a16="http://schemas.microsoft.com/office/drawing/2014/main" id="{00000000-0008-0000-0000-000027050000}"/>
            </a:ext>
          </a:extLst>
        </xdr:cNvPr>
        <xdr:cNvCxnSpPr/>
      </xdr:nvCxnSpPr>
      <xdr:spPr>
        <a:xfrm>
          <a:off x="2057400" y="3948113"/>
          <a:ext cx="246861" cy="5979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152400</xdr:colOff>
      <xdr:row>23</xdr:row>
      <xdr:rowOff>80963</xdr:rowOff>
    </xdr:from>
    <xdr:to>
      <xdr:col>8</xdr:col>
      <xdr:colOff>96094</xdr:colOff>
      <xdr:row>23</xdr:row>
      <xdr:rowOff>133564</xdr:rowOff>
    </xdr:to>
    <xdr:cxnSp macro="">
      <xdr:nvCxnSpPr>
        <xdr:cNvPr id="1320" name="Straight Arrow Connector 1319">
          <a:extLst>
            <a:ext uri="{FF2B5EF4-FFF2-40B4-BE49-F238E27FC236}">
              <a16:creationId xmlns:a16="http://schemas.microsoft.com/office/drawing/2014/main" id="{00000000-0008-0000-0000-000028050000}"/>
            </a:ext>
          </a:extLst>
        </xdr:cNvPr>
        <xdr:cNvCxnSpPr/>
      </xdr:nvCxnSpPr>
      <xdr:spPr>
        <a:xfrm>
          <a:off x="2362200" y="3948113"/>
          <a:ext cx="248494" cy="5260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152400</xdr:colOff>
      <xdr:row>23</xdr:row>
      <xdr:rowOff>80963</xdr:rowOff>
    </xdr:from>
    <xdr:to>
      <xdr:col>9</xdr:col>
      <xdr:colOff>97176</xdr:colOff>
      <xdr:row>23</xdr:row>
      <xdr:rowOff>128164</xdr:rowOff>
    </xdr:to>
    <xdr:cxnSp macro="">
      <xdr:nvCxnSpPr>
        <xdr:cNvPr id="1321" name="Straight Arrow Connector 1320">
          <a:extLst>
            <a:ext uri="{FF2B5EF4-FFF2-40B4-BE49-F238E27FC236}">
              <a16:creationId xmlns:a16="http://schemas.microsoft.com/office/drawing/2014/main" id="{00000000-0008-0000-0000-000029050000}"/>
            </a:ext>
          </a:extLst>
        </xdr:cNvPr>
        <xdr:cNvCxnSpPr/>
      </xdr:nvCxnSpPr>
      <xdr:spPr>
        <a:xfrm>
          <a:off x="2667000" y="3948113"/>
          <a:ext cx="249576" cy="4720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23</xdr:row>
      <xdr:rowOff>80963</xdr:rowOff>
    </xdr:from>
    <xdr:to>
      <xdr:col>10</xdr:col>
      <xdr:colOff>98097</xdr:colOff>
      <xdr:row>23</xdr:row>
      <xdr:rowOff>123001</xdr:rowOff>
    </xdr:to>
    <xdr:cxnSp macro="">
      <xdr:nvCxnSpPr>
        <xdr:cNvPr id="1322" name="Straight Arrow Connector 1321">
          <a:extLst>
            <a:ext uri="{FF2B5EF4-FFF2-40B4-BE49-F238E27FC236}">
              <a16:creationId xmlns:a16="http://schemas.microsoft.com/office/drawing/2014/main" id="{00000000-0008-0000-0000-00002A050000}"/>
            </a:ext>
          </a:extLst>
        </xdr:cNvPr>
        <xdr:cNvCxnSpPr/>
      </xdr:nvCxnSpPr>
      <xdr:spPr>
        <a:xfrm>
          <a:off x="2971800" y="3948113"/>
          <a:ext cx="250497" cy="4203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23</xdr:row>
      <xdr:rowOff>80963</xdr:rowOff>
    </xdr:from>
    <xdr:to>
      <xdr:col>11</xdr:col>
      <xdr:colOff>99017</xdr:colOff>
      <xdr:row>23</xdr:row>
      <xdr:rowOff>117094</xdr:rowOff>
    </xdr:to>
    <xdr:cxnSp macro="">
      <xdr:nvCxnSpPr>
        <xdr:cNvPr id="1323" name="Straight Arrow Connector 1322">
          <a:extLst>
            <a:ext uri="{FF2B5EF4-FFF2-40B4-BE49-F238E27FC236}">
              <a16:creationId xmlns:a16="http://schemas.microsoft.com/office/drawing/2014/main" id="{00000000-0008-0000-0000-00002B050000}"/>
            </a:ext>
          </a:extLst>
        </xdr:cNvPr>
        <xdr:cNvCxnSpPr/>
      </xdr:nvCxnSpPr>
      <xdr:spPr>
        <a:xfrm>
          <a:off x="3276600" y="3948113"/>
          <a:ext cx="251417" cy="3613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152400</xdr:colOff>
      <xdr:row>23</xdr:row>
      <xdr:rowOff>80963</xdr:rowOff>
    </xdr:from>
    <xdr:to>
      <xdr:col>12</xdr:col>
      <xdr:colOff>99944</xdr:colOff>
      <xdr:row>23</xdr:row>
      <xdr:rowOff>109925</xdr:rowOff>
    </xdr:to>
    <xdr:cxnSp macro="">
      <xdr:nvCxnSpPr>
        <xdr:cNvPr id="1324" name="Straight Arrow Connector 1323">
          <a:extLst>
            <a:ext uri="{FF2B5EF4-FFF2-40B4-BE49-F238E27FC236}">
              <a16:creationId xmlns:a16="http://schemas.microsoft.com/office/drawing/2014/main" id="{00000000-0008-0000-0000-00002C050000}"/>
            </a:ext>
          </a:extLst>
        </xdr:cNvPr>
        <xdr:cNvCxnSpPr/>
      </xdr:nvCxnSpPr>
      <xdr:spPr>
        <a:xfrm>
          <a:off x="3581400" y="3948113"/>
          <a:ext cx="252344" cy="2896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23</xdr:row>
      <xdr:rowOff>80963</xdr:rowOff>
    </xdr:from>
    <xdr:to>
      <xdr:col>13</xdr:col>
      <xdr:colOff>100739</xdr:colOff>
      <xdr:row>23</xdr:row>
      <xdr:rowOff>101859</xdr:rowOff>
    </xdr:to>
    <xdr:cxnSp macro="">
      <xdr:nvCxnSpPr>
        <xdr:cNvPr id="1325" name="Straight Arrow Connector 1324">
          <a:extLst>
            <a:ext uri="{FF2B5EF4-FFF2-40B4-BE49-F238E27FC236}">
              <a16:creationId xmlns:a16="http://schemas.microsoft.com/office/drawing/2014/main" id="{00000000-0008-0000-0000-00002D050000}"/>
            </a:ext>
          </a:extLst>
        </xdr:cNvPr>
        <xdr:cNvCxnSpPr/>
      </xdr:nvCxnSpPr>
      <xdr:spPr>
        <a:xfrm>
          <a:off x="3886200" y="3948113"/>
          <a:ext cx="253139" cy="2089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152400</xdr:colOff>
      <xdr:row>23</xdr:row>
      <xdr:rowOff>80963</xdr:rowOff>
    </xdr:from>
    <xdr:to>
      <xdr:col>14</xdr:col>
      <xdr:colOff>101228</xdr:colOff>
      <xdr:row>23</xdr:row>
      <xdr:rowOff>94707</xdr:rowOff>
    </xdr:to>
    <xdr:cxnSp macro="">
      <xdr:nvCxnSpPr>
        <xdr:cNvPr id="1326" name="Straight Arrow Connector 1325">
          <a:extLst>
            <a:ext uri="{FF2B5EF4-FFF2-40B4-BE49-F238E27FC236}">
              <a16:creationId xmlns:a16="http://schemas.microsoft.com/office/drawing/2014/main" id="{00000000-0008-0000-0000-00002E050000}"/>
            </a:ext>
          </a:extLst>
        </xdr:cNvPr>
        <xdr:cNvCxnSpPr/>
      </xdr:nvCxnSpPr>
      <xdr:spPr>
        <a:xfrm>
          <a:off x="4191000" y="3948113"/>
          <a:ext cx="253628" cy="1374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152400</xdr:colOff>
      <xdr:row>23</xdr:row>
      <xdr:rowOff>80963</xdr:rowOff>
    </xdr:from>
    <xdr:to>
      <xdr:col>15</xdr:col>
      <xdr:colOff>101471</xdr:colOff>
      <xdr:row>23</xdr:row>
      <xdr:rowOff>89072</xdr:rowOff>
    </xdr:to>
    <xdr:cxnSp macro="">
      <xdr:nvCxnSpPr>
        <xdr:cNvPr id="1327" name="Straight Arrow Connector 1326">
          <a:extLst>
            <a:ext uri="{FF2B5EF4-FFF2-40B4-BE49-F238E27FC236}">
              <a16:creationId xmlns:a16="http://schemas.microsoft.com/office/drawing/2014/main" id="{00000000-0008-0000-0000-00002F050000}"/>
            </a:ext>
          </a:extLst>
        </xdr:cNvPr>
        <xdr:cNvCxnSpPr/>
      </xdr:nvCxnSpPr>
      <xdr:spPr>
        <a:xfrm>
          <a:off x="4495800" y="3948113"/>
          <a:ext cx="253871" cy="810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23</xdr:row>
      <xdr:rowOff>80963</xdr:rowOff>
    </xdr:from>
    <xdr:to>
      <xdr:col>16</xdr:col>
      <xdr:colOff>101573</xdr:colOff>
      <xdr:row>23</xdr:row>
      <xdr:rowOff>84687</xdr:rowOff>
    </xdr:to>
    <xdr:cxnSp macro="">
      <xdr:nvCxnSpPr>
        <xdr:cNvPr id="1328" name="Straight Arrow Connector 1327">
          <a:extLst>
            <a:ext uri="{FF2B5EF4-FFF2-40B4-BE49-F238E27FC236}">
              <a16:creationId xmlns:a16="http://schemas.microsoft.com/office/drawing/2014/main" id="{00000000-0008-0000-0000-000030050000}"/>
            </a:ext>
          </a:extLst>
        </xdr:cNvPr>
        <xdr:cNvCxnSpPr/>
      </xdr:nvCxnSpPr>
      <xdr:spPr>
        <a:xfrm>
          <a:off x="4800600" y="3948113"/>
          <a:ext cx="253973" cy="372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23</xdr:row>
      <xdr:rowOff>80963</xdr:rowOff>
    </xdr:from>
    <xdr:to>
      <xdr:col>17</xdr:col>
      <xdr:colOff>101600</xdr:colOff>
      <xdr:row>23</xdr:row>
      <xdr:rowOff>80963</xdr:rowOff>
    </xdr:to>
    <xdr:cxnSp macro="">
      <xdr:nvCxnSpPr>
        <xdr:cNvPr id="1329" name="Straight Arrow Connector 1328">
          <a:extLst>
            <a:ext uri="{FF2B5EF4-FFF2-40B4-BE49-F238E27FC236}">
              <a16:creationId xmlns:a16="http://schemas.microsoft.com/office/drawing/2014/main" id="{00000000-0008-0000-0000-000031050000}"/>
            </a:ext>
          </a:extLst>
        </xdr:cNvPr>
        <xdr:cNvCxnSpPr/>
      </xdr:nvCxnSpPr>
      <xdr:spPr>
        <a:xfrm>
          <a:off x="5105400" y="3948113"/>
          <a:ext cx="254000" cy="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23</xdr:row>
      <xdr:rowOff>77238</xdr:rowOff>
    </xdr:from>
    <xdr:to>
      <xdr:col>18</xdr:col>
      <xdr:colOff>101573</xdr:colOff>
      <xdr:row>23</xdr:row>
      <xdr:rowOff>80963</xdr:rowOff>
    </xdr:to>
    <xdr:cxnSp macro="">
      <xdr:nvCxnSpPr>
        <xdr:cNvPr id="1330" name="Straight Arrow Connector 1329">
          <a:extLst>
            <a:ext uri="{FF2B5EF4-FFF2-40B4-BE49-F238E27FC236}">
              <a16:creationId xmlns:a16="http://schemas.microsoft.com/office/drawing/2014/main" id="{00000000-0008-0000-0000-000032050000}"/>
            </a:ext>
          </a:extLst>
        </xdr:cNvPr>
        <xdr:cNvCxnSpPr/>
      </xdr:nvCxnSpPr>
      <xdr:spPr>
        <a:xfrm flipV="1">
          <a:off x="5410200" y="3944388"/>
          <a:ext cx="253973" cy="372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152400</xdr:colOff>
      <xdr:row>23</xdr:row>
      <xdr:rowOff>72853</xdr:rowOff>
    </xdr:from>
    <xdr:to>
      <xdr:col>19</xdr:col>
      <xdr:colOff>101471</xdr:colOff>
      <xdr:row>23</xdr:row>
      <xdr:rowOff>80963</xdr:rowOff>
    </xdr:to>
    <xdr:cxnSp macro="">
      <xdr:nvCxnSpPr>
        <xdr:cNvPr id="1331" name="Straight Arrow Connector 1330">
          <a:extLst>
            <a:ext uri="{FF2B5EF4-FFF2-40B4-BE49-F238E27FC236}">
              <a16:creationId xmlns:a16="http://schemas.microsoft.com/office/drawing/2014/main" id="{00000000-0008-0000-0000-000033050000}"/>
            </a:ext>
          </a:extLst>
        </xdr:cNvPr>
        <xdr:cNvCxnSpPr/>
      </xdr:nvCxnSpPr>
      <xdr:spPr>
        <a:xfrm flipV="1">
          <a:off x="5715000" y="3940003"/>
          <a:ext cx="253871" cy="811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152400</xdr:colOff>
      <xdr:row>23</xdr:row>
      <xdr:rowOff>67219</xdr:rowOff>
    </xdr:from>
    <xdr:to>
      <xdr:col>20</xdr:col>
      <xdr:colOff>101228</xdr:colOff>
      <xdr:row>23</xdr:row>
      <xdr:rowOff>80963</xdr:rowOff>
    </xdr:to>
    <xdr:cxnSp macro="">
      <xdr:nvCxnSpPr>
        <xdr:cNvPr id="1332" name="Straight Arrow Connector 1331">
          <a:extLst>
            <a:ext uri="{FF2B5EF4-FFF2-40B4-BE49-F238E27FC236}">
              <a16:creationId xmlns:a16="http://schemas.microsoft.com/office/drawing/2014/main" id="{00000000-0008-0000-0000-000034050000}"/>
            </a:ext>
          </a:extLst>
        </xdr:cNvPr>
        <xdr:cNvCxnSpPr/>
      </xdr:nvCxnSpPr>
      <xdr:spPr>
        <a:xfrm flipV="1">
          <a:off x="6019800" y="3934369"/>
          <a:ext cx="253628" cy="1374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23</xdr:row>
      <xdr:rowOff>60067</xdr:rowOff>
    </xdr:from>
    <xdr:to>
      <xdr:col>21</xdr:col>
      <xdr:colOff>100739</xdr:colOff>
      <xdr:row>23</xdr:row>
      <xdr:rowOff>80963</xdr:rowOff>
    </xdr:to>
    <xdr:cxnSp macro="">
      <xdr:nvCxnSpPr>
        <xdr:cNvPr id="1333" name="Straight Arrow Connector 1332">
          <a:extLst>
            <a:ext uri="{FF2B5EF4-FFF2-40B4-BE49-F238E27FC236}">
              <a16:creationId xmlns:a16="http://schemas.microsoft.com/office/drawing/2014/main" id="{00000000-0008-0000-0000-000035050000}"/>
            </a:ext>
          </a:extLst>
        </xdr:cNvPr>
        <xdr:cNvCxnSpPr/>
      </xdr:nvCxnSpPr>
      <xdr:spPr>
        <a:xfrm flipV="1">
          <a:off x="6324600" y="3927217"/>
          <a:ext cx="253139" cy="2089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23</xdr:row>
      <xdr:rowOff>52000</xdr:rowOff>
    </xdr:from>
    <xdr:to>
      <xdr:col>22</xdr:col>
      <xdr:colOff>99944</xdr:colOff>
      <xdr:row>23</xdr:row>
      <xdr:rowOff>80963</xdr:rowOff>
    </xdr:to>
    <xdr:cxnSp macro="">
      <xdr:nvCxnSpPr>
        <xdr:cNvPr id="1334" name="Straight Arrow Connector 1333">
          <a:extLst>
            <a:ext uri="{FF2B5EF4-FFF2-40B4-BE49-F238E27FC236}">
              <a16:creationId xmlns:a16="http://schemas.microsoft.com/office/drawing/2014/main" id="{00000000-0008-0000-0000-000036050000}"/>
            </a:ext>
          </a:extLst>
        </xdr:cNvPr>
        <xdr:cNvCxnSpPr/>
      </xdr:nvCxnSpPr>
      <xdr:spPr>
        <a:xfrm flipV="1">
          <a:off x="6629400" y="3919150"/>
          <a:ext cx="252344" cy="2896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23</xdr:row>
      <xdr:rowOff>44832</xdr:rowOff>
    </xdr:from>
    <xdr:to>
      <xdr:col>23</xdr:col>
      <xdr:colOff>99017</xdr:colOff>
      <xdr:row>23</xdr:row>
      <xdr:rowOff>80963</xdr:rowOff>
    </xdr:to>
    <xdr:cxnSp macro="">
      <xdr:nvCxnSpPr>
        <xdr:cNvPr id="1335" name="Straight Arrow Connector 1334">
          <a:extLst>
            <a:ext uri="{FF2B5EF4-FFF2-40B4-BE49-F238E27FC236}">
              <a16:creationId xmlns:a16="http://schemas.microsoft.com/office/drawing/2014/main" id="{00000000-0008-0000-0000-000037050000}"/>
            </a:ext>
          </a:extLst>
        </xdr:cNvPr>
        <xdr:cNvCxnSpPr/>
      </xdr:nvCxnSpPr>
      <xdr:spPr>
        <a:xfrm flipV="1">
          <a:off x="6934200" y="3911982"/>
          <a:ext cx="251417" cy="3613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152400</xdr:colOff>
      <xdr:row>23</xdr:row>
      <xdr:rowOff>38925</xdr:rowOff>
    </xdr:from>
    <xdr:to>
      <xdr:col>24</xdr:col>
      <xdr:colOff>98097</xdr:colOff>
      <xdr:row>23</xdr:row>
      <xdr:rowOff>80963</xdr:rowOff>
    </xdr:to>
    <xdr:cxnSp macro="">
      <xdr:nvCxnSpPr>
        <xdr:cNvPr id="1336" name="Straight Arrow Connector 1335">
          <a:extLst>
            <a:ext uri="{FF2B5EF4-FFF2-40B4-BE49-F238E27FC236}">
              <a16:creationId xmlns:a16="http://schemas.microsoft.com/office/drawing/2014/main" id="{00000000-0008-0000-0000-000038050000}"/>
            </a:ext>
          </a:extLst>
        </xdr:cNvPr>
        <xdr:cNvCxnSpPr/>
      </xdr:nvCxnSpPr>
      <xdr:spPr>
        <a:xfrm flipV="1">
          <a:off x="7239000" y="3906075"/>
          <a:ext cx="250497" cy="4203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23</xdr:row>
      <xdr:rowOff>33763</xdr:rowOff>
    </xdr:from>
    <xdr:to>
      <xdr:col>25</xdr:col>
      <xdr:colOff>97176</xdr:colOff>
      <xdr:row>23</xdr:row>
      <xdr:rowOff>80963</xdr:rowOff>
    </xdr:to>
    <xdr:cxnSp macro="">
      <xdr:nvCxnSpPr>
        <xdr:cNvPr id="1337" name="Straight Arrow Connector 1336">
          <a:extLst>
            <a:ext uri="{FF2B5EF4-FFF2-40B4-BE49-F238E27FC236}">
              <a16:creationId xmlns:a16="http://schemas.microsoft.com/office/drawing/2014/main" id="{00000000-0008-0000-0000-000039050000}"/>
            </a:ext>
          </a:extLst>
        </xdr:cNvPr>
        <xdr:cNvCxnSpPr/>
      </xdr:nvCxnSpPr>
      <xdr:spPr>
        <a:xfrm flipV="1">
          <a:off x="7543800" y="3900913"/>
          <a:ext cx="249576" cy="472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23</xdr:row>
      <xdr:rowOff>28363</xdr:rowOff>
    </xdr:from>
    <xdr:to>
      <xdr:col>26</xdr:col>
      <xdr:colOff>96094</xdr:colOff>
      <xdr:row>23</xdr:row>
      <xdr:rowOff>80963</xdr:rowOff>
    </xdr:to>
    <xdr:cxnSp macro="">
      <xdr:nvCxnSpPr>
        <xdr:cNvPr id="1338" name="Straight Arrow Connector 1337">
          <a:extLst>
            <a:ext uri="{FF2B5EF4-FFF2-40B4-BE49-F238E27FC236}">
              <a16:creationId xmlns:a16="http://schemas.microsoft.com/office/drawing/2014/main" id="{00000000-0008-0000-0000-00003A050000}"/>
            </a:ext>
          </a:extLst>
        </xdr:cNvPr>
        <xdr:cNvCxnSpPr/>
      </xdr:nvCxnSpPr>
      <xdr:spPr>
        <a:xfrm flipV="1">
          <a:off x="7848600" y="3895513"/>
          <a:ext cx="248494" cy="526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152400</xdr:colOff>
      <xdr:row>23</xdr:row>
      <xdr:rowOff>21169</xdr:rowOff>
    </xdr:from>
    <xdr:to>
      <xdr:col>27</xdr:col>
      <xdr:colOff>94462</xdr:colOff>
      <xdr:row>23</xdr:row>
      <xdr:rowOff>80963</xdr:rowOff>
    </xdr:to>
    <xdr:cxnSp macro="">
      <xdr:nvCxnSpPr>
        <xdr:cNvPr id="1339" name="Straight Arrow Connector 1338">
          <a:extLst>
            <a:ext uri="{FF2B5EF4-FFF2-40B4-BE49-F238E27FC236}">
              <a16:creationId xmlns:a16="http://schemas.microsoft.com/office/drawing/2014/main" id="{00000000-0008-0000-0000-00003B050000}"/>
            </a:ext>
          </a:extLst>
        </xdr:cNvPr>
        <xdr:cNvCxnSpPr/>
      </xdr:nvCxnSpPr>
      <xdr:spPr>
        <a:xfrm flipV="1">
          <a:off x="8153400" y="3888319"/>
          <a:ext cx="246862" cy="5979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152400</xdr:colOff>
      <xdr:row>23</xdr:row>
      <xdr:rowOff>9216</xdr:rowOff>
    </xdr:from>
    <xdr:to>
      <xdr:col>28</xdr:col>
      <xdr:colOff>91256</xdr:colOff>
      <xdr:row>23</xdr:row>
      <xdr:rowOff>80963</xdr:rowOff>
    </xdr:to>
    <xdr:cxnSp macro="">
      <xdr:nvCxnSpPr>
        <xdr:cNvPr id="1340" name="Straight Arrow Connector 1339">
          <a:extLst>
            <a:ext uri="{FF2B5EF4-FFF2-40B4-BE49-F238E27FC236}">
              <a16:creationId xmlns:a16="http://schemas.microsoft.com/office/drawing/2014/main" id="{00000000-0008-0000-0000-00003C050000}"/>
            </a:ext>
          </a:extLst>
        </xdr:cNvPr>
        <xdr:cNvCxnSpPr/>
      </xdr:nvCxnSpPr>
      <xdr:spPr>
        <a:xfrm flipV="1">
          <a:off x="8458200" y="3876366"/>
          <a:ext cx="243656" cy="7174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152400</xdr:colOff>
      <xdr:row>22</xdr:row>
      <xdr:rowOff>147123</xdr:rowOff>
    </xdr:from>
    <xdr:to>
      <xdr:col>29</xdr:col>
      <xdr:colOff>82855</xdr:colOff>
      <xdr:row>23</xdr:row>
      <xdr:rowOff>80963</xdr:rowOff>
    </xdr:to>
    <xdr:cxnSp macro="">
      <xdr:nvCxnSpPr>
        <xdr:cNvPr id="1341" name="Straight Arrow Connector 1340">
          <a:extLst>
            <a:ext uri="{FF2B5EF4-FFF2-40B4-BE49-F238E27FC236}">
              <a16:creationId xmlns:a16="http://schemas.microsoft.com/office/drawing/2014/main" id="{00000000-0008-0000-0000-00003D050000}"/>
            </a:ext>
          </a:extLst>
        </xdr:cNvPr>
        <xdr:cNvCxnSpPr/>
      </xdr:nvCxnSpPr>
      <xdr:spPr>
        <a:xfrm flipV="1">
          <a:off x="8763000" y="3852348"/>
          <a:ext cx="235255" cy="9576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152400</xdr:colOff>
      <xdr:row>22</xdr:row>
      <xdr:rowOff>88002</xdr:rowOff>
    </xdr:from>
    <xdr:to>
      <xdr:col>30</xdr:col>
      <xdr:colOff>48912</xdr:colOff>
      <xdr:row>23</xdr:row>
      <xdr:rowOff>80963</xdr:rowOff>
    </xdr:to>
    <xdr:cxnSp macro="">
      <xdr:nvCxnSpPr>
        <xdr:cNvPr id="1342" name="Straight Arrow Connector 1341">
          <a:extLst>
            <a:ext uri="{FF2B5EF4-FFF2-40B4-BE49-F238E27FC236}">
              <a16:creationId xmlns:a16="http://schemas.microsoft.com/office/drawing/2014/main" id="{00000000-0008-0000-0000-00003E050000}"/>
            </a:ext>
          </a:extLst>
        </xdr:cNvPr>
        <xdr:cNvCxnSpPr/>
      </xdr:nvCxnSpPr>
      <xdr:spPr>
        <a:xfrm flipV="1">
          <a:off x="9067800" y="3793227"/>
          <a:ext cx="201312" cy="15488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152400</xdr:colOff>
      <xdr:row>22</xdr:row>
      <xdr:rowOff>30871</xdr:rowOff>
    </xdr:from>
    <xdr:to>
      <xdr:col>30</xdr:col>
      <xdr:colOff>292275</xdr:colOff>
      <xdr:row>23</xdr:row>
      <xdr:rowOff>80963</xdr:rowOff>
    </xdr:to>
    <xdr:cxnSp macro="">
      <xdr:nvCxnSpPr>
        <xdr:cNvPr id="1343" name="Straight Arrow Connector 1342">
          <a:extLst>
            <a:ext uri="{FF2B5EF4-FFF2-40B4-BE49-F238E27FC236}">
              <a16:creationId xmlns:a16="http://schemas.microsoft.com/office/drawing/2014/main" id="{00000000-0008-0000-0000-00003F050000}"/>
            </a:ext>
          </a:extLst>
        </xdr:cNvPr>
        <xdr:cNvCxnSpPr/>
      </xdr:nvCxnSpPr>
      <xdr:spPr>
        <a:xfrm flipV="1">
          <a:off x="9372600" y="3736096"/>
          <a:ext cx="139875" cy="21201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152400</xdr:colOff>
      <xdr:row>24</xdr:row>
      <xdr:rowOff>80963</xdr:rowOff>
    </xdr:from>
    <xdr:to>
      <xdr:col>3</xdr:col>
      <xdr:colOff>101594</xdr:colOff>
      <xdr:row>24</xdr:row>
      <xdr:rowOff>82743</xdr:rowOff>
    </xdr:to>
    <xdr:cxnSp macro="">
      <xdr:nvCxnSpPr>
        <xdr:cNvPr id="1344" name="Straight Arrow Connector 1343">
          <a:extLst>
            <a:ext uri="{FF2B5EF4-FFF2-40B4-BE49-F238E27FC236}">
              <a16:creationId xmlns:a16="http://schemas.microsoft.com/office/drawing/2014/main" id="{00000000-0008-0000-0000-000040050000}"/>
            </a:ext>
          </a:extLst>
        </xdr:cNvPr>
        <xdr:cNvCxnSpPr/>
      </xdr:nvCxnSpPr>
      <xdr:spPr>
        <a:xfrm>
          <a:off x="838200" y="4110038"/>
          <a:ext cx="253994" cy="178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152400</xdr:colOff>
      <xdr:row>24</xdr:row>
      <xdr:rowOff>80963</xdr:rowOff>
    </xdr:from>
    <xdr:to>
      <xdr:col>4</xdr:col>
      <xdr:colOff>74097</xdr:colOff>
      <xdr:row>25</xdr:row>
      <xdr:rowOff>33994</xdr:rowOff>
    </xdr:to>
    <xdr:cxnSp macro="">
      <xdr:nvCxnSpPr>
        <xdr:cNvPr id="1345" name="Straight Arrow Connector 1344">
          <a:extLst>
            <a:ext uri="{FF2B5EF4-FFF2-40B4-BE49-F238E27FC236}">
              <a16:creationId xmlns:a16="http://schemas.microsoft.com/office/drawing/2014/main" id="{00000000-0008-0000-0000-000041050000}"/>
            </a:ext>
          </a:extLst>
        </xdr:cNvPr>
        <xdr:cNvCxnSpPr/>
      </xdr:nvCxnSpPr>
      <xdr:spPr>
        <a:xfrm>
          <a:off x="1143000" y="4110038"/>
          <a:ext cx="226497" cy="11495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152400</xdr:colOff>
      <xdr:row>24</xdr:row>
      <xdr:rowOff>80963</xdr:rowOff>
    </xdr:from>
    <xdr:to>
      <xdr:col>5</xdr:col>
      <xdr:colOff>92923</xdr:colOff>
      <xdr:row>24</xdr:row>
      <xdr:rowOff>146786</xdr:rowOff>
    </xdr:to>
    <xdr:cxnSp macro="">
      <xdr:nvCxnSpPr>
        <xdr:cNvPr id="1346" name="Straight Arrow Connector 1345">
          <a:extLst>
            <a:ext uri="{FF2B5EF4-FFF2-40B4-BE49-F238E27FC236}">
              <a16:creationId xmlns:a16="http://schemas.microsoft.com/office/drawing/2014/main" id="{00000000-0008-0000-0000-000042050000}"/>
            </a:ext>
          </a:extLst>
        </xdr:cNvPr>
        <xdr:cNvCxnSpPr/>
      </xdr:nvCxnSpPr>
      <xdr:spPr>
        <a:xfrm>
          <a:off x="1447800" y="4110038"/>
          <a:ext cx="245323" cy="65823"/>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24</xdr:row>
      <xdr:rowOff>80963</xdr:rowOff>
    </xdr:from>
    <xdr:to>
      <xdr:col>6</xdr:col>
      <xdr:colOff>96960</xdr:colOff>
      <xdr:row>24</xdr:row>
      <xdr:rowOff>129290</xdr:rowOff>
    </xdr:to>
    <xdr:cxnSp macro="">
      <xdr:nvCxnSpPr>
        <xdr:cNvPr id="1347" name="Straight Arrow Connector 1346">
          <a:extLst>
            <a:ext uri="{FF2B5EF4-FFF2-40B4-BE49-F238E27FC236}">
              <a16:creationId xmlns:a16="http://schemas.microsoft.com/office/drawing/2014/main" id="{00000000-0008-0000-0000-000043050000}"/>
            </a:ext>
          </a:extLst>
        </xdr:cNvPr>
        <xdr:cNvCxnSpPr/>
      </xdr:nvCxnSpPr>
      <xdr:spPr>
        <a:xfrm>
          <a:off x="1752600" y="4110038"/>
          <a:ext cx="249360" cy="4832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24</xdr:row>
      <xdr:rowOff>80963</xdr:rowOff>
    </xdr:from>
    <xdr:to>
      <xdr:col>7</xdr:col>
      <xdr:colOff>98447</xdr:colOff>
      <xdr:row>24</xdr:row>
      <xdr:rowOff>120862</xdr:rowOff>
    </xdr:to>
    <xdr:cxnSp macro="">
      <xdr:nvCxnSpPr>
        <xdr:cNvPr id="1348" name="Straight Arrow Connector 1347">
          <a:extLst>
            <a:ext uri="{FF2B5EF4-FFF2-40B4-BE49-F238E27FC236}">
              <a16:creationId xmlns:a16="http://schemas.microsoft.com/office/drawing/2014/main" id="{00000000-0008-0000-0000-000044050000}"/>
            </a:ext>
          </a:extLst>
        </xdr:cNvPr>
        <xdr:cNvCxnSpPr/>
      </xdr:nvCxnSpPr>
      <xdr:spPr>
        <a:xfrm>
          <a:off x="2057400" y="4110038"/>
          <a:ext cx="250847" cy="39899"/>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152400</xdr:colOff>
      <xdr:row>24</xdr:row>
      <xdr:rowOff>80963</xdr:rowOff>
    </xdr:from>
    <xdr:to>
      <xdr:col>8</xdr:col>
      <xdr:colOff>99196</xdr:colOff>
      <xdr:row>24</xdr:row>
      <xdr:rowOff>115824</xdr:rowOff>
    </xdr:to>
    <xdr:cxnSp macro="">
      <xdr:nvCxnSpPr>
        <xdr:cNvPr id="1349" name="Straight Arrow Connector 1348">
          <a:extLst>
            <a:ext uri="{FF2B5EF4-FFF2-40B4-BE49-F238E27FC236}">
              <a16:creationId xmlns:a16="http://schemas.microsoft.com/office/drawing/2014/main" id="{00000000-0008-0000-0000-000045050000}"/>
            </a:ext>
          </a:extLst>
        </xdr:cNvPr>
        <xdr:cNvCxnSpPr/>
      </xdr:nvCxnSpPr>
      <xdr:spPr>
        <a:xfrm>
          <a:off x="2362200" y="4110038"/>
          <a:ext cx="251596" cy="3486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152400</xdr:colOff>
      <xdr:row>24</xdr:row>
      <xdr:rowOff>80963</xdr:rowOff>
    </xdr:from>
    <xdr:to>
      <xdr:col>9</xdr:col>
      <xdr:colOff>99692</xdr:colOff>
      <xdr:row>24</xdr:row>
      <xdr:rowOff>112040</xdr:rowOff>
    </xdr:to>
    <xdr:cxnSp macro="">
      <xdr:nvCxnSpPr>
        <xdr:cNvPr id="1350" name="Straight Arrow Connector 1349">
          <a:extLst>
            <a:ext uri="{FF2B5EF4-FFF2-40B4-BE49-F238E27FC236}">
              <a16:creationId xmlns:a16="http://schemas.microsoft.com/office/drawing/2014/main" id="{00000000-0008-0000-0000-000046050000}"/>
            </a:ext>
          </a:extLst>
        </xdr:cNvPr>
        <xdr:cNvCxnSpPr/>
      </xdr:nvCxnSpPr>
      <xdr:spPr>
        <a:xfrm>
          <a:off x="2667000" y="4110038"/>
          <a:ext cx="252092" cy="3107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152400</xdr:colOff>
      <xdr:row>24</xdr:row>
      <xdr:rowOff>80963</xdr:rowOff>
    </xdr:from>
    <xdr:to>
      <xdr:col>10</xdr:col>
      <xdr:colOff>100108</xdr:colOff>
      <xdr:row>24</xdr:row>
      <xdr:rowOff>108454</xdr:rowOff>
    </xdr:to>
    <xdr:cxnSp macro="">
      <xdr:nvCxnSpPr>
        <xdr:cNvPr id="1351" name="Straight Arrow Connector 1350">
          <a:extLst>
            <a:ext uri="{FF2B5EF4-FFF2-40B4-BE49-F238E27FC236}">
              <a16:creationId xmlns:a16="http://schemas.microsoft.com/office/drawing/2014/main" id="{00000000-0008-0000-0000-000047050000}"/>
            </a:ext>
          </a:extLst>
        </xdr:cNvPr>
        <xdr:cNvCxnSpPr/>
      </xdr:nvCxnSpPr>
      <xdr:spPr>
        <a:xfrm>
          <a:off x="2971800" y="4110038"/>
          <a:ext cx="252508" cy="2749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24</xdr:row>
      <xdr:rowOff>80963</xdr:rowOff>
    </xdr:from>
    <xdr:to>
      <xdr:col>11</xdr:col>
      <xdr:colOff>100511</xdr:colOff>
      <xdr:row>24</xdr:row>
      <xdr:rowOff>104460</xdr:rowOff>
    </xdr:to>
    <xdr:cxnSp macro="">
      <xdr:nvCxnSpPr>
        <xdr:cNvPr id="1352" name="Straight Arrow Connector 1351">
          <a:extLst>
            <a:ext uri="{FF2B5EF4-FFF2-40B4-BE49-F238E27FC236}">
              <a16:creationId xmlns:a16="http://schemas.microsoft.com/office/drawing/2014/main" id="{00000000-0008-0000-0000-000048050000}"/>
            </a:ext>
          </a:extLst>
        </xdr:cNvPr>
        <xdr:cNvCxnSpPr/>
      </xdr:nvCxnSpPr>
      <xdr:spPr>
        <a:xfrm>
          <a:off x="3276600" y="4110038"/>
          <a:ext cx="252911" cy="23497"/>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152400</xdr:colOff>
      <xdr:row>24</xdr:row>
      <xdr:rowOff>80963</xdr:rowOff>
    </xdr:from>
    <xdr:to>
      <xdr:col>12</xdr:col>
      <xdr:colOff>100899</xdr:colOff>
      <xdr:row>24</xdr:row>
      <xdr:rowOff>99815</xdr:rowOff>
    </xdr:to>
    <xdr:cxnSp macro="">
      <xdr:nvCxnSpPr>
        <xdr:cNvPr id="1353" name="Straight Arrow Connector 1352">
          <a:extLst>
            <a:ext uri="{FF2B5EF4-FFF2-40B4-BE49-F238E27FC236}">
              <a16:creationId xmlns:a16="http://schemas.microsoft.com/office/drawing/2014/main" id="{00000000-0008-0000-0000-000049050000}"/>
            </a:ext>
          </a:extLst>
        </xdr:cNvPr>
        <xdr:cNvCxnSpPr/>
      </xdr:nvCxnSpPr>
      <xdr:spPr>
        <a:xfrm>
          <a:off x="3581400" y="4110038"/>
          <a:ext cx="253299" cy="1885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24</xdr:row>
      <xdr:rowOff>80963</xdr:rowOff>
    </xdr:from>
    <xdr:to>
      <xdr:col>13</xdr:col>
      <xdr:colOff>101223</xdr:colOff>
      <xdr:row>24</xdr:row>
      <xdr:rowOff>94797</xdr:rowOff>
    </xdr:to>
    <xdr:cxnSp macro="">
      <xdr:nvCxnSpPr>
        <xdr:cNvPr id="1354" name="Straight Arrow Connector 1353">
          <a:extLst>
            <a:ext uri="{FF2B5EF4-FFF2-40B4-BE49-F238E27FC236}">
              <a16:creationId xmlns:a16="http://schemas.microsoft.com/office/drawing/2014/main" id="{00000000-0008-0000-0000-00004A050000}"/>
            </a:ext>
          </a:extLst>
        </xdr:cNvPr>
        <xdr:cNvCxnSpPr/>
      </xdr:nvCxnSpPr>
      <xdr:spPr>
        <a:xfrm>
          <a:off x="3886200" y="4110038"/>
          <a:ext cx="253623" cy="1383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152400</xdr:colOff>
      <xdr:row>24</xdr:row>
      <xdr:rowOff>80963</xdr:rowOff>
    </xdr:from>
    <xdr:to>
      <xdr:col>14</xdr:col>
      <xdr:colOff>101430</xdr:colOff>
      <xdr:row>24</xdr:row>
      <xdr:rowOff>90248</xdr:rowOff>
    </xdr:to>
    <xdr:cxnSp macro="">
      <xdr:nvCxnSpPr>
        <xdr:cNvPr id="1355" name="Straight Arrow Connector 1354">
          <a:extLst>
            <a:ext uri="{FF2B5EF4-FFF2-40B4-BE49-F238E27FC236}">
              <a16:creationId xmlns:a16="http://schemas.microsoft.com/office/drawing/2014/main" id="{00000000-0008-0000-0000-00004B050000}"/>
            </a:ext>
          </a:extLst>
        </xdr:cNvPr>
        <xdr:cNvCxnSpPr/>
      </xdr:nvCxnSpPr>
      <xdr:spPr>
        <a:xfrm>
          <a:off x="4191000" y="4110038"/>
          <a:ext cx="253830" cy="928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152400</xdr:colOff>
      <xdr:row>24</xdr:row>
      <xdr:rowOff>80963</xdr:rowOff>
    </xdr:from>
    <xdr:to>
      <xdr:col>15</xdr:col>
      <xdr:colOff>101539</xdr:colOff>
      <xdr:row>24</xdr:row>
      <xdr:rowOff>86533</xdr:rowOff>
    </xdr:to>
    <xdr:cxnSp macro="">
      <xdr:nvCxnSpPr>
        <xdr:cNvPr id="1356" name="Straight Arrow Connector 1355">
          <a:extLst>
            <a:ext uri="{FF2B5EF4-FFF2-40B4-BE49-F238E27FC236}">
              <a16:creationId xmlns:a16="http://schemas.microsoft.com/office/drawing/2014/main" id="{00000000-0008-0000-0000-00004C050000}"/>
            </a:ext>
          </a:extLst>
        </xdr:cNvPr>
        <xdr:cNvCxnSpPr/>
      </xdr:nvCxnSpPr>
      <xdr:spPr>
        <a:xfrm>
          <a:off x="4495800" y="4110038"/>
          <a:ext cx="253939" cy="557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24</xdr:row>
      <xdr:rowOff>80963</xdr:rowOff>
    </xdr:from>
    <xdr:to>
      <xdr:col>16</xdr:col>
      <xdr:colOff>101587</xdr:colOff>
      <xdr:row>24</xdr:row>
      <xdr:rowOff>83547</xdr:rowOff>
    </xdr:to>
    <xdr:cxnSp macro="">
      <xdr:nvCxnSpPr>
        <xdr:cNvPr id="1357" name="Straight Arrow Connector 1356">
          <a:extLst>
            <a:ext uri="{FF2B5EF4-FFF2-40B4-BE49-F238E27FC236}">
              <a16:creationId xmlns:a16="http://schemas.microsoft.com/office/drawing/2014/main" id="{00000000-0008-0000-0000-00004D050000}"/>
            </a:ext>
          </a:extLst>
        </xdr:cNvPr>
        <xdr:cNvCxnSpPr/>
      </xdr:nvCxnSpPr>
      <xdr:spPr>
        <a:xfrm>
          <a:off x="4800600" y="4110038"/>
          <a:ext cx="253987" cy="258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24</xdr:row>
      <xdr:rowOff>80963</xdr:rowOff>
    </xdr:from>
    <xdr:to>
      <xdr:col>17</xdr:col>
      <xdr:colOff>101600</xdr:colOff>
      <xdr:row>24</xdr:row>
      <xdr:rowOff>80963</xdr:rowOff>
    </xdr:to>
    <xdr:cxnSp macro="">
      <xdr:nvCxnSpPr>
        <xdr:cNvPr id="1358" name="Straight Arrow Connector 1357">
          <a:extLst>
            <a:ext uri="{FF2B5EF4-FFF2-40B4-BE49-F238E27FC236}">
              <a16:creationId xmlns:a16="http://schemas.microsoft.com/office/drawing/2014/main" id="{00000000-0008-0000-0000-00004E050000}"/>
            </a:ext>
          </a:extLst>
        </xdr:cNvPr>
        <xdr:cNvCxnSpPr/>
      </xdr:nvCxnSpPr>
      <xdr:spPr>
        <a:xfrm>
          <a:off x="5105400" y="4110038"/>
          <a:ext cx="254000" cy="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24</xdr:row>
      <xdr:rowOff>78377</xdr:rowOff>
    </xdr:from>
    <xdr:to>
      <xdr:col>18</xdr:col>
      <xdr:colOff>101587</xdr:colOff>
      <xdr:row>24</xdr:row>
      <xdr:rowOff>80963</xdr:rowOff>
    </xdr:to>
    <xdr:cxnSp macro="">
      <xdr:nvCxnSpPr>
        <xdr:cNvPr id="1359" name="Straight Arrow Connector 1358">
          <a:extLst>
            <a:ext uri="{FF2B5EF4-FFF2-40B4-BE49-F238E27FC236}">
              <a16:creationId xmlns:a16="http://schemas.microsoft.com/office/drawing/2014/main" id="{00000000-0008-0000-0000-00004F050000}"/>
            </a:ext>
          </a:extLst>
        </xdr:cNvPr>
        <xdr:cNvCxnSpPr/>
      </xdr:nvCxnSpPr>
      <xdr:spPr>
        <a:xfrm flipV="1">
          <a:off x="5410200" y="4107452"/>
          <a:ext cx="253987" cy="258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152400</xdr:colOff>
      <xdr:row>24</xdr:row>
      <xdr:rowOff>75392</xdr:rowOff>
    </xdr:from>
    <xdr:to>
      <xdr:col>19</xdr:col>
      <xdr:colOff>101539</xdr:colOff>
      <xdr:row>24</xdr:row>
      <xdr:rowOff>80963</xdr:rowOff>
    </xdr:to>
    <xdr:cxnSp macro="">
      <xdr:nvCxnSpPr>
        <xdr:cNvPr id="1360" name="Straight Arrow Connector 1359">
          <a:extLst>
            <a:ext uri="{FF2B5EF4-FFF2-40B4-BE49-F238E27FC236}">
              <a16:creationId xmlns:a16="http://schemas.microsoft.com/office/drawing/2014/main" id="{00000000-0008-0000-0000-000050050000}"/>
            </a:ext>
          </a:extLst>
        </xdr:cNvPr>
        <xdr:cNvCxnSpPr/>
      </xdr:nvCxnSpPr>
      <xdr:spPr>
        <a:xfrm flipV="1">
          <a:off x="5715000" y="4104467"/>
          <a:ext cx="253939" cy="557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152400</xdr:colOff>
      <xdr:row>24</xdr:row>
      <xdr:rowOff>71677</xdr:rowOff>
    </xdr:from>
    <xdr:to>
      <xdr:col>20</xdr:col>
      <xdr:colOff>101430</xdr:colOff>
      <xdr:row>24</xdr:row>
      <xdr:rowOff>80963</xdr:rowOff>
    </xdr:to>
    <xdr:cxnSp macro="">
      <xdr:nvCxnSpPr>
        <xdr:cNvPr id="1361" name="Straight Arrow Connector 1360">
          <a:extLst>
            <a:ext uri="{FF2B5EF4-FFF2-40B4-BE49-F238E27FC236}">
              <a16:creationId xmlns:a16="http://schemas.microsoft.com/office/drawing/2014/main" id="{00000000-0008-0000-0000-000051050000}"/>
            </a:ext>
          </a:extLst>
        </xdr:cNvPr>
        <xdr:cNvCxnSpPr/>
      </xdr:nvCxnSpPr>
      <xdr:spPr>
        <a:xfrm flipV="1">
          <a:off x="6019800" y="4100752"/>
          <a:ext cx="253830" cy="928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24</xdr:row>
      <xdr:rowOff>67128</xdr:rowOff>
    </xdr:from>
    <xdr:to>
      <xdr:col>21</xdr:col>
      <xdr:colOff>101223</xdr:colOff>
      <xdr:row>24</xdr:row>
      <xdr:rowOff>80963</xdr:rowOff>
    </xdr:to>
    <xdr:cxnSp macro="">
      <xdr:nvCxnSpPr>
        <xdr:cNvPr id="1362" name="Straight Arrow Connector 1361">
          <a:extLst>
            <a:ext uri="{FF2B5EF4-FFF2-40B4-BE49-F238E27FC236}">
              <a16:creationId xmlns:a16="http://schemas.microsoft.com/office/drawing/2014/main" id="{00000000-0008-0000-0000-000052050000}"/>
            </a:ext>
          </a:extLst>
        </xdr:cNvPr>
        <xdr:cNvCxnSpPr/>
      </xdr:nvCxnSpPr>
      <xdr:spPr>
        <a:xfrm flipV="1">
          <a:off x="6324600" y="4096203"/>
          <a:ext cx="253623" cy="13835"/>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24</xdr:row>
      <xdr:rowOff>62111</xdr:rowOff>
    </xdr:from>
    <xdr:to>
      <xdr:col>22</xdr:col>
      <xdr:colOff>100899</xdr:colOff>
      <xdr:row>24</xdr:row>
      <xdr:rowOff>80963</xdr:rowOff>
    </xdr:to>
    <xdr:cxnSp macro="">
      <xdr:nvCxnSpPr>
        <xdr:cNvPr id="1363" name="Straight Arrow Connector 1362">
          <a:extLst>
            <a:ext uri="{FF2B5EF4-FFF2-40B4-BE49-F238E27FC236}">
              <a16:creationId xmlns:a16="http://schemas.microsoft.com/office/drawing/2014/main" id="{00000000-0008-0000-0000-000053050000}"/>
            </a:ext>
          </a:extLst>
        </xdr:cNvPr>
        <xdr:cNvCxnSpPr/>
      </xdr:nvCxnSpPr>
      <xdr:spPr>
        <a:xfrm flipV="1">
          <a:off x="6629400" y="4091186"/>
          <a:ext cx="253299" cy="1885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24</xdr:row>
      <xdr:rowOff>57465</xdr:rowOff>
    </xdr:from>
    <xdr:to>
      <xdr:col>23</xdr:col>
      <xdr:colOff>100511</xdr:colOff>
      <xdr:row>24</xdr:row>
      <xdr:rowOff>80963</xdr:rowOff>
    </xdr:to>
    <xdr:cxnSp macro="">
      <xdr:nvCxnSpPr>
        <xdr:cNvPr id="1364" name="Straight Arrow Connector 1363">
          <a:extLst>
            <a:ext uri="{FF2B5EF4-FFF2-40B4-BE49-F238E27FC236}">
              <a16:creationId xmlns:a16="http://schemas.microsoft.com/office/drawing/2014/main" id="{00000000-0008-0000-0000-000054050000}"/>
            </a:ext>
          </a:extLst>
        </xdr:cNvPr>
        <xdr:cNvCxnSpPr/>
      </xdr:nvCxnSpPr>
      <xdr:spPr>
        <a:xfrm flipV="1">
          <a:off x="6934200" y="4086540"/>
          <a:ext cx="252911" cy="2349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152400</xdr:colOff>
      <xdr:row>24</xdr:row>
      <xdr:rowOff>53472</xdr:rowOff>
    </xdr:from>
    <xdr:to>
      <xdr:col>24</xdr:col>
      <xdr:colOff>100108</xdr:colOff>
      <xdr:row>24</xdr:row>
      <xdr:rowOff>80963</xdr:rowOff>
    </xdr:to>
    <xdr:cxnSp macro="">
      <xdr:nvCxnSpPr>
        <xdr:cNvPr id="1365" name="Straight Arrow Connector 1364">
          <a:extLst>
            <a:ext uri="{FF2B5EF4-FFF2-40B4-BE49-F238E27FC236}">
              <a16:creationId xmlns:a16="http://schemas.microsoft.com/office/drawing/2014/main" id="{00000000-0008-0000-0000-000055050000}"/>
            </a:ext>
          </a:extLst>
        </xdr:cNvPr>
        <xdr:cNvCxnSpPr/>
      </xdr:nvCxnSpPr>
      <xdr:spPr>
        <a:xfrm flipV="1">
          <a:off x="7239000" y="4082547"/>
          <a:ext cx="252508" cy="27491"/>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24</xdr:row>
      <xdr:rowOff>49885</xdr:rowOff>
    </xdr:from>
    <xdr:to>
      <xdr:col>25</xdr:col>
      <xdr:colOff>99692</xdr:colOff>
      <xdr:row>24</xdr:row>
      <xdr:rowOff>80963</xdr:rowOff>
    </xdr:to>
    <xdr:cxnSp macro="">
      <xdr:nvCxnSpPr>
        <xdr:cNvPr id="1366" name="Straight Arrow Connector 1365">
          <a:extLst>
            <a:ext uri="{FF2B5EF4-FFF2-40B4-BE49-F238E27FC236}">
              <a16:creationId xmlns:a16="http://schemas.microsoft.com/office/drawing/2014/main" id="{00000000-0008-0000-0000-000056050000}"/>
            </a:ext>
          </a:extLst>
        </xdr:cNvPr>
        <xdr:cNvCxnSpPr/>
      </xdr:nvCxnSpPr>
      <xdr:spPr>
        <a:xfrm flipV="1">
          <a:off x="7543800" y="4078960"/>
          <a:ext cx="252092" cy="31078"/>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24</xdr:row>
      <xdr:rowOff>46101</xdr:rowOff>
    </xdr:from>
    <xdr:to>
      <xdr:col>26</xdr:col>
      <xdr:colOff>99196</xdr:colOff>
      <xdr:row>24</xdr:row>
      <xdr:rowOff>80963</xdr:rowOff>
    </xdr:to>
    <xdr:cxnSp macro="">
      <xdr:nvCxnSpPr>
        <xdr:cNvPr id="1367" name="Straight Arrow Connector 1366">
          <a:extLst>
            <a:ext uri="{FF2B5EF4-FFF2-40B4-BE49-F238E27FC236}">
              <a16:creationId xmlns:a16="http://schemas.microsoft.com/office/drawing/2014/main" id="{00000000-0008-0000-0000-000057050000}"/>
            </a:ext>
          </a:extLst>
        </xdr:cNvPr>
        <xdr:cNvCxnSpPr/>
      </xdr:nvCxnSpPr>
      <xdr:spPr>
        <a:xfrm flipV="1">
          <a:off x="7848600" y="4075176"/>
          <a:ext cx="251596" cy="3486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152400</xdr:colOff>
      <xdr:row>24</xdr:row>
      <xdr:rowOff>41063</xdr:rowOff>
    </xdr:from>
    <xdr:to>
      <xdr:col>27</xdr:col>
      <xdr:colOff>98447</xdr:colOff>
      <xdr:row>24</xdr:row>
      <xdr:rowOff>80963</xdr:rowOff>
    </xdr:to>
    <xdr:cxnSp macro="">
      <xdr:nvCxnSpPr>
        <xdr:cNvPr id="1368" name="Straight Arrow Connector 1367">
          <a:extLst>
            <a:ext uri="{FF2B5EF4-FFF2-40B4-BE49-F238E27FC236}">
              <a16:creationId xmlns:a16="http://schemas.microsoft.com/office/drawing/2014/main" id="{00000000-0008-0000-0000-000058050000}"/>
            </a:ext>
          </a:extLst>
        </xdr:cNvPr>
        <xdr:cNvCxnSpPr/>
      </xdr:nvCxnSpPr>
      <xdr:spPr>
        <a:xfrm flipV="1">
          <a:off x="8153400" y="4070138"/>
          <a:ext cx="250847" cy="39900"/>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152400</xdr:colOff>
      <xdr:row>24</xdr:row>
      <xdr:rowOff>32637</xdr:rowOff>
    </xdr:from>
    <xdr:to>
      <xdr:col>28</xdr:col>
      <xdr:colOff>96961</xdr:colOff>
      <xdr:row>24</xdr:row>
      <xdr:rowOff>80963</xdr:rowOff>
    </xdr:to>
    <xdr:cxnSp macro="">
      <xdr:nvCxnSpPr>
        <xdr:cNvPr id="1369" name="Straight Arrow Connector 1368">
          <a:extLst>
            <a:ext uri="{FF2B5EF4-FFF2-40B4-BE49-F238E27FC236}">
              <a16:creationId xmlns:a16="http://schemas.microsoft.com/office/drawing/2014/main" id="{00000000-0008-0000-0000-000059050000}"/>
            </a:ext>
          </a:extLst>
        </xdr:cNvPr>
        <xdr:cNvCxnSpPr/>
      </xdr:nvCxnSpPr>
      <xdr:spPr>
        <a:xfrm flipV="1">
          <a:off x="8458200" y="4061712"/>
          <a:ext cx="249361" cy="4832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152400</xdr:colOff>
      <xdr:row>24</xdr:row>
      <xdr:rowOff>15141</xdr:rowOff>
    </xdr:from>
    <xdr:to>
      <xdr:col>29</xdr:col>
      <xdr:colOff>92924</xdr:colOff>
      <xdr:row>24</xdr:row>
      <xdr:rowOff>80963</xdr:rowOff>
    </xdr:to>
    <xdr:cxnSp macro="">
      <xdr:nvCxnSpPr>
        <xdr:cNvPr id="1370" name="Straight Arrow Connector 1369">
          <a:extLst>
            <a:ext uri="{FF2B5EF4-FFF2-40B4-BE49-F238E27FC236}">
              <a16:creationId xmlns:a16="http://schemas.microsoft.com/office/drawing/2014/main" id="{00000000-0008-0000-0000-00005A050000}"/>
            </a:ext>
          </a:extLst>
        </xdr:cNvPr>
        <xdr:cNvCxnSpPr/>
      </xdr:nvCxnSpPr>
      <xdr:spPr>
        <a:xfrm flipV="1">
          <a:off x="8763000" y="4044216"/>
          <a:ext cx="245324" cy="65822"/>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152400</xdr:colOff>
      <xdr:row>23</xdr:row>
      <xdr:rowOff>127934</xdr:rowOff>
    </xdr:from>
    <xdr:to>
      <xdr:col>30</xdr:col>
      <xdr:colOff>74099</xdr:colOff>
      <xdr:row>24</xdr:row>
      <xdr:rowOff>80963</xdr:rowOff>
    </xdr:to>
    <xdr:cxnSp macro="">
      <xdr:nvCxnSpPr>
        <xdr:cNvPr id="1371" name="Straight Arrow Connector 1370">
          <a:extLst>
            <a:ext uri="{FF2B5EF4-FFF2-40B4-BE49-F238E27FC236}">
              <a16:creationId xmlns:a16="http://schemas.microsoft.com/office/drawing/2014/main" id="{00000000-0008-0000-0000-00005B050000}"/>
            </a:ext>
          </a:extLst>
        </xdr:cNvPr>
        <xdr:cNvCxnSpPr/>
      </xdr:nvCxnSpPr>
      <xdr:spPr>
        <a:xfrm flipV="1">
          <a:off x="9067800" y="3995084"/>
          <a:ext cx="226499" cy="114954"/>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152400</xdr:colOff>
      <xdr:row>23</xdr:row>
      <xdr:rowOff>63282</xdr:rowOff>
    </xdr:from>
    <xdr:to>
      <xdr:col>31</xdr:col>
      <xdr:colOff>27205</xdr:colOff>
      <xdr:row>24</xdr:row>
      <xdr:rowOff>80963</xdr:rowOff>
    </xdr:to>
    <xdr:cxnSp macro="">
      <xdr:nvCxnSpPr>
        <xdr:cNvPr id="1372" name="Straight Arrow Connector 1371">
          <a:extLst>
            <a:ext uri="{FF2B5EF4-FFF2-40B4-BE49-F238E27FC236}">
              <a16:creationId xmlns:a16="http://schemas.microsoft.com/office/drawing/2014/main" id="{00000000-0008-0000-0000-00005C050000}"/>
            </a:ext>
          </a:extLst>
        </xdr:cNvPr>
        <xdr:cNvCxnSpPr/>
      </xdr:nvCxnSpPr>
      <xdr:spPr>
        <a:xfrm flipV="1">
          <a:off x="9372600" y="3930432"/>
          <a:ext cx="179605" cy="179606"/>
        </a:xfrm>
        <a:prstGeom prst="straightConnector1">
          <a:avLst/>
        </a:prstGeom>
        <a:ln w="19050" cap="flat" cmpd="sng" algn="ctr">
          <a:solidFill>
            <a:srgbClr val="0000FF"/>
          </a:solidFill>
          <a:prstDash val="solid"/>
          <a:round/>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238126</xdr:colOff>
      <xdr:row>0</xdr:row>
      <xdr:rowOff>133350</xdr:rowOff>
    </xdr:from>
    <xdr:to>
      <xdr:col>31</xdr:col>
      <xdr:colOff>85726</xdr:colOff>
      <xdr:row>7</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153026" y="133350"/>
          <a:ext cx="4419600" cy="123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solidFill>
                <a:schemeClr val="dk1"/>
              </a:solidFill>
              <a:latin typeface="+mn-lt"/>
              <a:ea typeface="+mn-ea"/>
              <a:cs typeface="+mn-cs"/>
            </a:rPr>
            <a:t>Directions</a:t>
          </a:r>
          <a:r>
            <a:rPr lang="en-US" sz="1000">
              <a:solidFill>
                <a:schemeClr val="dk1"/>
              </a:solidFill>
              <a:latin typeface="+mn-lt"/>
              <a:ea typeface="+mn-ea"/>
              <a:cs typeface="+mn-cs"/>
            </a:rPr>
            <a:t>:  This</a:t>
          </a:r>
          <a:r>
            <a:rPr lang="en-US" sz="1000" baseline="0">
              <a:solidFill>
                <a:schemeClr val="dk1"/>
              </a:solidFill>
              <a:latin typeface="+mn-lt"/>
              <a:ea typeface="+mn-ea"/>
              <a:cs typeface="+mn-cs"/>
            </a:rPr>
            <a:t> sheet is used to compute the hydraulic gradient in each cell using the heads computed on the Main sheet.  This sheet does not use formulas (all calculations are done in the VB code) so the gradients need to be re-calculated whenever the values in the Main sheet are updated.  Conditional formatting is used to highlights cells with gradients above the critical value.  You may need to press F9 to update the formatting.  The gradient is the overall gradient magnitude as shown in the equation on the right.</a:t>
          </a:r>
          <a:endParaRPr lang="en-US" sz="1000">
            <a:solidFill>
              <a:schemeClr val="dk1"/>
            </a:solidFill>
            <a:latin typeface="+mn-lt"/>
            <a:ea typeface="+mn-ea"/>
            <a:cs typeface="+mn-cs"/>
          </a:endParaRPr>
        </a:p>
        <a:p>
          <a:endParaRPr lang="en-US" sz="1000"/>
        </a:p>
      </xdr:txBody>
    </xdr:sp>
    <xdr:clientData/>
  </xdr:twoCellAnchor>
  <mc:AlternateContent xmlns:mc="http://schemas.openxmlformats.org/markup-compatibility/2006">
    <mc:Choice xmlns:a14="http://schemas.microsoft.com/office/drawing/2010/main" Requires="a14">
      <xdr:twoCellAnchor editAs="oneCell">
        <xdr:from>
          <xdr:col>1</xdr:col>
          <xdr:colOff>142875</xdr:colOff>
          <xdr:row>2</xdr:row>
          <xdr:rowOff>9525</xdr:rowOff>
        </xdr:from>
        <xdr:to>
          <xdr:col>5</xdr:col>
          <xdr:colOff>285750</xdr:colOff>
          <xdr:row>4</xdr:row>
          <xdr:rowOff>38100</xdr:rowOff>
        </xdr:to>
        <xdr:sp macro="" textlink="">
          <xdr:nvSpPr>
            <xdr:cNvPr id="2049" name="cmdCalculateGradient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xdr:row>
          <xdr:rowOff>19050</xdr:rowOff>
        </xdr:from>
        <xdr:to>
          <xdr:col>34</xdr:col>
          <xdr:colOff>38100</xdr:colOff>
          <xdr:row>5</xdr:row>
          <xdr:rowOff>66675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19050</xdr:rowOff>
        </xdr:from>
        <xdr:to>
          <xdr:col>14</xdr:col>
          <xdr:colOff>219075</xdr:colOff>
          <xdr:row>4</xdr:row>
          <xdr:rowOff>104775</xdr:rowOff>
        </xdr:to>
        <xdr:sp macro="" textlink="">
          <xdr:nvSpPr>
            <xdr:cNvPr id="2055" name="optRemove"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xdr:row>
          <xdr:rowOff>104775</xdr:rowOff>
        </xdr:from>
        <xdr:to>
          <xdr:col>16</xdr:col>
          <xdr:colOff>76200</xdr:colOff>
          <xdr:row>6</xdr:row>
          <xdr:rowOff>28575</xdr:rowOff>
        </xdr:to>
        <xdr:sp macro="" textlink="">
          <xdr:nvSpPr>
            <xdr:cNvPr id="2056" name="optHighlight"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xdr:row>
          <xdr:rowOff>19050</xdr:rowOff>
        </xdr:from>
        <xdr:to>
          <xdr:col>15</xdr:col>
          <xdr:colOff>180975</xdr:colOff>
          <xdr:row>7</xdr:row>
          <xdr:rowOff>104775</xdr:rowOff>
        </xdr:to>
        <xdr:sp macro="" textlink="">
          <xdr:nvSpPr>
            <xdr:cNvPr id="2057" name="optColorShade"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552450</xdr:colOff>
      <xdr:row>0</xdr:row>
      <xdr:rowOff>142875</xdr:rowOff>
    </xdr:from>
    <xdr:to>
      <xdr:col>16</xdr:col>
      <xdr:colOff>390525</xdr:colOff>
      <xdr:row>6</xdr:row>
      <xdr:rowOff>57150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438775" y="142875"/>
          <a:ext cx="4714875"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solidFill>
                <a:schemeClr val="dk1"/>
              </a:solidFill>
              <a:latin typeface="+mn-lt"/>
              <a:ea typeface="+mn-ea"/>
              <a:cs typeface="+mn-cs"/>
            </a:rPr>
            <a:t>Directions</a:t>
          </a:r>
          <a:r>
            <a:rPr lang="en-US" sz="1000">
              <a:solidFill>
                <a:schemeClr val="dk1"/>
              </a:solidFill>
              <a:latin typeface="+mn-lt"/>
              <a:ea typeface="+mn-ea"/>
              <a:cs typeface="+mn-cs"/>
            </a:rPr>
            <a:t>:  This</a:t>
          </a:r>
          <a:r>
            <a:rPr lang="en-US" sz="1000" baseline="0">
              <a:solidFill>
                <a:schemeClr val="dk1"/>
              </a:solidFill>
              <a:latin typeface="+mn-lt"/>
              <a:ea typeface="+mn-ea"/>
              <a:cs typeface="+mn-cs"/>
            </a:rPr>
            <a:t> sheet is used to compute the flowrate through the problem domain.  The calculations are based on one of the two head boundaries.  The code assumes that the boundary is horizontal so you should not select a vertical boundary.  If both boundaries are horizontal, you should pick the one with the largest number of cells.  These calculations should be performed after the head solution is found on the Main sheet.</a:t>
          </a:r>
          <a:endParaRPr lang="en-US" sz="1000">
            <a:solidFill>
              <a:schemeClr val="dk1"/>
            </a:solidFill>
            <a:latin typeface="+mn-lt"/>
            <a:ea typeface="+mn-ea"/>
            <a:cs typeface="+mn-cs"/>
          </a:endParaRPr>
        </a:p>
        <a:p>
          <a:endParaRPr lang="en-US" sz="1000"/>
        </a:p>
      </xdr:txBody>
    </xdr:sp>
    <xdr:clientData/>
  </xdr:twoCellAnchor>
  <mc:AlternateContent xmlns:mc="http://schemas.openxmlformats.org/markup-compatibility/2006">
    <mc:Choice xmlns:a14="http://schemas.microsoft.com/office/drawing/2010/main" Requires="a14">
      <xdr:twoCellAnchor editAs="oneCell">
        <xdr:from>
          <xdr:col>6</xdr:col>
          <xdr:colOff>19050</xdr:colOff>
          <xdr:row>2</xdr:row>
          <xdr:rowOff>76200</xdr:rowOff>
        </xdr:from>
        <xdr:to>
          <xdr:col>8</xdr:col>
          <xdr:colOff>28575</xdr:colOff>
          <xdr:row>4</xdr:row>
          <xdr:rowOff>38100</xdr:rowOff>
        </xdr:to>
        <xdr:sp macro="" textlink="">
          <xdr:nvSpPr>
            <xdr:cNvPr id="3073" name="cmdCalculateFlow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9.emf"/><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ontrol" Target="../activeX/activeX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image" Target="../media/image8.emf"/><Relationship Id="rId5" Type="http://schemas.openxmlformats.org/officeDocument/2006/relationships/image" Target="../media/image5.wmf"/><Relationship Id="rId10" Type="http://schemas.openxmlformats.org/officeDocument/2006/relationships/control" Target="../activeX/activeX7.xml"/><Relationship Id="rId4" Type="http://schemas.openxmlformats.org/officeDocument/2006/relationships/oleObject" Target="../embeddings/oleObject1.bin"/><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0.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37"/>
  <sheetViews>
    <sheetView showGridLines="0" tabSelected="1" zoomScaleNormal="100" workbookViewId="0">
      <selection activeCell="A2" sqref="A2"/>
    </sheetView>
  </sheetViews>
  <sheetFormatPr defaultRowHeight="12.75" x14ac:dyDescent="0.2"/>
  <cols>
    <col min="1" max="1" width="5.140625" style="2" customWidth="1"/>
    <col min="2" max="2" width="5.140625" style="9" customWidth="1"/>
    <col min="3" max="9" width="4.5703125" style="2" bestFit="1" customWidth="1"/>
    <col min="10" max="10" width="4.5703125" style="2" customWidth="1"/>
    <col min="11" max="15" width="4.5703125" style="2" bestFit="1" customWidth="1"/>
    <col min="16" max="32" width="4.5703125" style="2" customWidth="1"/>
    <col min="33" max="16384" width="9.140625" style="2"/>
  </cols>
  <sheetData>
    <row r="1" spans="1:32" ht="23.25" x14ac:dyDescent="0.35">
      <c r="A1" s="1" t="s">
        <v>1</v>
      </c>
      <c r="B1" s="7"/>
    </row>
    <row r="2" spans="1:32" x14ac:dyDescent="0.2">
      <c r="A2" s="3" t="s">
        <v>29</v>
      </c>
      <c r="B2" s="8"/>
    </row>
    <row r="3" spans="1:32" x14ac:dyDescent="0.2">
      <c r="A3" s="3"/>
      <c r="B3" s="8"/>
    </row>
    <row r="4" spans="1:32" x14ac:dyDescent="0.2">
      <c r="A4" s="3"/>
      <c r="B4" s="2"/>
      <c r="C4" s="4" t="s">
        <v>2</v>
      </c>
      <c r="D4" s="22"/>
      <c r="G4" s="4" t="s">
        <v>2</v>
      </c>
      <c r="H4" s="31">
        <v>11.1</v>
      </c>
      <c r="I4" s="2" t="str">
        <f>"[" &amp; lunit &amp; "]"</f>
        <v>[m]</v>
      </c>
      <c r="L4" s="4" t="s">
        <v>7</v>
      </c>
      <c r="M4" s="5" t="s">
        <v>28</v>
      </c>
    </row>
    <row r="5" spans="1:32" x14ac:dyDescent="0.2">
      <c r="A5" s="3"/>
      <c r="B5" s="2"/>
      <c r="C5" s="4" t="s">
        <v>3</v>
      </c>
      <c r="D5" s="21"/>
      <c r="G5" s="4" t="s">
        <v>3</v>
      </c>
      <c r="H5" s="5">
        <v>7.5</v>
      </c>
      <c r="I5" s="2" t="str">
        <f>"[" &amp; lunit &amp; "]"</f>
        <v>[m]</v>
      </c>
      <c r="L5" s="4" t="s">
        <v>8</v>
      </c>
      <c r="M5" s="5" t="s">
        <v>6</v>
      </c>
      <c r="Q5" s="4" t="s">
        <v>27</v>
      </c>
      <c r="R5" s="5">
        <v>20</v>
      </c>
    </row>
    <row r="6" spans="1:32" ht="13.5" thickBot="1" x14ac:dyDescent="0.25">
      <c r="A6" s="3"/>
      <c r="B6" s="2"/>
      <c r="C6" s="4" t="s">
        <v>4</v>
      </c>
      <c r="D6" s="23"/>
      <c r="G6" s="4" t="s">
        <v>9</v>
      </c>
      <c r="H6" s="20">
        <v>1.25</v>
      </c>
      <c r="I6" s="2" t="str">
        <f>"[" &amp; lunit &amp; "]"</f>
        <v>[m]</v>
      </c>
      <c r="Q6" s="4" t="s">
        <v>26</v>
      </c>
      <c r="R6" s="27"/>
    </row>
    <row r="7" spans="1:32" x14ac:dyDescent="0.2">
      <c r="A7" s="3"/>
      <c r="B7" s="2"/>
      <c r="C7" s="4" t="s">
        <v>5</v>
      </c>
      <c r="D7" s="24"/>
      <c r="P7" s="26"/>
    </row>
    <row r="8" spans="1:32" x14ac:dyDescent="0.2">
      <c r="B8" s="2"/>
    </row>
    <row r="10" spans="1:32" x14ac:dyDescent="0.2">
      <c r="A10" s="38" t="s">
        <v>12</v>
      </c>
      <c r="B10" s="10">
        <f t="shared" ref="B10:B34" si="0">B11+cellsize</f>
        <v>31.25</v>
      </c>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row>
    <row r="11" spans="1:32" x14ac:dyDescent="0.2">
      <c r="A11" s="39"/>
      <c r="B11" s="11">
        <f t="shared" si="0"/>
        <v>30</v>
      </c>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row>
    <row r="12" spans="1:32" x14ac:dyDescent="0.2">
      <c r="A12" s="39"/>
      <c r="B12" s="11">
        <f t="shared" si="0"/>
        <v>28.75</v>
      </c>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row>
    <row r="13" spans="1:32" x14ac:dyDescent="0.2">
      <c r="A13" s="39"/>
      <c r="B13" s="11">
        <f t="shared" si="0"/>
        <v>27.5</v>
      </c>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row>
    <row r="14" spans="1:32" x14ac:dyDescent="0.2">
      <c r="A14" s="39"/>
      <c r="B14" s="11">
        <f t="shared" si="0"/>
        <v>26.25</v>
      </c>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row>
    <row r="15" spans="1:32" x14ac:dyDescent="0.2">
      <c r="A15" s="39"/>
      <c r="B15" s="11">
        <f t="shared" si="0"/>
        <v>25</v>
      </c>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row>
    <row r="16" spans="1:32" x14ac:dyDescent="0.2">
      <c r="A16" s="39"/>
      <c r="B16" s="11">
        <f t="shared" si="0"/>
        <v>23.75</v>
      </c>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row>
    <row r="17" spans="1:35" x14ac:dyDescent="0.2">
      <c r="A17" s="39"/>
      <c r="B17" s="11">
        <f t="shared" si="0"/>
        <v>22.5</v>
      </c>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row>
    <row r="18" spans="1:35" x14ac:dyDescent="0.2">
      <c r="A18" s="39"/>
      <c r="B18" s="11">
        <f t="shared" si="0"/>
        <v>21.25</v>
      </c>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I18" s="15"/>
    </row>
    <row r="19" spans="1:35" x14ac:dyDescent="0.2">
      <c r="A19" s="39"/>
      <c r="B19" s="11">
        <f t="shared" si="0"/>
        <v>20</v>
      </c>
      <c r="C19" s="32">
        <f t="shared" ref="C19:L19" si="1">H_1</f>
        <v>11.1</v>
      </c>
      <c r="D19" s="32">
        <f t="shared" si="1"/>
        <v>11.1</v>
      </c>
      <c r="E19" s="32">
        <f t="shared" si="1"/>
        <v>11.1</v>
      </c>
      <c r="F19" s="32">
        <f t="shared" si="1"/>
        <v>11.1</v>
      </c>
      <c r="G19" s="32">
        <f t="shared" si="1"/>
        <v>11.1</v>
      </c>
      <c r="H19" s="32">
        <f t="shared" si="1"/>
        <v>11.1</v>
      </c>
      <c r="I19" s="32">
        <f t="shared" si="1"/>
        <v>11.1</v>
      </c>
      <c r="J19" s="32">
        <f t="shared" si="1"/>
        <v>11.1</v>
      </c>
      <c r="K19" s="32">
        <f t="shared" si="1"/>
        <v>11.1</v>
      </c>
      <c r="L19" s="32">
        <f t="shared" si="1"/>
        <v>11.1</v>
      </c>
      <c r="M19" s="34">
        <f t="shared" ref="M19:U19" ca="1" si="2">(M20 + 0.5*L19 + 0.5*N19)/2</f>
        <v>10.528950035401738</v>
      </c>
      <c r="N19" s="34">
        <f t="shared" ca="1" si="2"/>
        <v>10.157011380591037</v>
      </c>
      <c r="O19" s="34">
        <f t="shared" ca="1" si="2"/>
        <v>9.8512224524138752</v>
      </c>
      <c r="P19" s="34">
        <f t="shared" ca="1" si="2"/>
        <v>9.5709152874432082</v>
      </c>
      <c r="Q19" s="34">
        <f t="shared" ca="1" si="2"/>
        <v>9.2999717896655323</v>
      </c>
      <c r="R19" s="34">
        <f t="shared" ca="1" si="2"/>
        <v>9.0290298914741438</v>
      </c>
      <c r="S19" s="34">
        <f t="shared" ca="1" si="2"/>
        <v>8.7487276509665541</v>
      </c>
      <c r="T19" s="34">
        <f t="shared" ca="1" si="2"/>
        <v>8.4429475181924012</v>
      </c>
      <c r="U19" s="34">
        <f t="shared" ca="1" si="2"/>
        <v>8.0710233359919314</v>
      </c>
      <c r="V19" s="35">
        <f t="shared" ref="V19:AE19" si="3">H_2</f>
        <v>7.5</v>
      </c>
      <c r="W19" s="35">
        <f t="shared" si="3"/>
        <v>7.5</v>
      </c>
      <c r="X19" s="35">
        <f t="shared" si="3"/>
        <v>7.5</v>
      </c>
      <c r="Y19" s="35">
        <f t="shared" si="3"/>
        <v>7.5</v>
      </c>
      <c r="Z19" s="35">
        <f t="shared" si="3"/>
        <v>7.5</v>
      </c>
      <c r="AA19" s="35">
        <f t="shared" si="3"/>
        <v>7.5</v>
      </c>
      <c r="AB19" s="35">
        <f t="shared" si="3"/>
        <v>7.5</v>
      </c>
      <c r="AC19" s="35">
        <f t="shared" si="3"/>
        <v>7.5</v>
      </c>
      <c r="AD19" s="35">
        <f t="shared" si="3"/>
        <v>7.5</v>
      </c>
      <c r="AE19" s="35">
        <f t="shared" si="3"/>
        <v>7.5</v>
      </c>
      <c r="AF19" s="33"/>
    </row>
    <row r="20" spans="1:35" x14ac:dyDescent="0.2">
      <c r="A20" s="39"/>
      <c r="B20" s="11">
        <f t="shared" si="0"/>
        <v>18.75</v>
      </c>
      <c r="C20" s="34">
        <f ca="1">(0.5*C19 + 0.5*C21 + D20)/2</f>
        <v>11.057458943970492</v>
      </c>
      <c r="D20" s="34">
        <f t="shared" ref="D20:M24" ca="1" si="4">(D19 + D21 + C20 + E20)/4</f>
        <v>11.055958505075333</v>
      </c>
      <c r="E20" s="34">
        <f t="shared" ca="1" si="4"/>
        <v>11.051323383901572</v>
      </c>
      <c r="F20" s="34">
        <f t="shared" ca="1" si="4"/>
        <v>11.043122166691013</v>
      </c>
      <c r="G20" s="34">
        <f t="shared" ca="1" si="4"/>
        <v>11.030516444800083</v>
      </c>
      <c r="H20" s="34">
        <f t="shared" ca="1" si="4"/>
        <v>11.011996925036541</v>
      </c>
      <c r="I20" s="34">
        <f t="shared" ca="1" si="4"/>
        <v>10.984748340543641</v>
      </c>
      <c r="J20" s="34">
        <f t="shared" ca="1" si="4"/>
        <v>10.943000655588234</v>
      </c>
      <c r="K20" s="34">
        <f t="shared" ca="1" si="4"/>
        <v>10.873297615262727</v>
      </c>
      <c r="L20" s="34">
        <f t="shared" ca="1" si="4"/>
        <v>10.739419417769339</v>
      </c>
      <c r="M20" s="34">
        <f t="shared" ca="1" si="4"/>
        <v>10.429394921977114</v>
      </c>
      <c r="N20" s="34">
        <f t="shared" ref="N20:W24" ca="1" si="5">(N19 + N21 + M20 + O20)/4</f>
        <v>10.12393720973164</v>
      </c>
      <c r="O20" s="34">
        <f t="shared" ca="1" si="5"/>
        <v>9.838482359193117</v>
      </c>
      <c r="P20" s="34">
        <f t="shared" ca="1" si="5"/>
        <v>9.5662342879936091</v>
      </c>
      <c r="Q20" s="34">
        <f t="shared" ca="1" si="5"/>
        <v>9.2999718228066168</v>
      </c>
      <c r="R20" s="34">
        <f t="shared" ca="1" si="5"/>
        <v>9.0337108485090241</v>
      </c>
      <c r="S20" s="34">
        <f t="shared" ca="1" si="5"/>
        <v>8.7614672884293121</v>
      </c>
      <c r="T20" s="34">
        <f t="shared" ca="1" si="5"/>
        <v>8.4760200838988968</v>
      </c>
      <c r="U20" s="34">
        <f t="shared" ca="1" si="5"/>
        <v>8.1705732181688031</v>
      </c>
      <c r="V20" s="34">
        <f t="shared" ca="1" si="5"/>
        <v>7.8605616558182518</v>
      </c>
      <c r="W20" s="34">
        <f t="shared" ca="1" si="5"/>
        <v>7.7266889766800162</v>
      </c>
      <c r="X20" s="34">
        <f t="shared" ref="X20:AG24" ca="1" si="6">(X19 + X21 + W20 + Y20)/4</f>
        <v>7.6569888286781982</v>
      </c>
      <c r="Y20" s="34">
        <f t="shared" ca="1" si="6"/>
        <v>7.6152429257138117</v>
      </c>
      <c r="Z20" s="34">
        <f t="shared" ca="1" si="6"/>
        <v>7.5879955542647037</v>
      </c>
      <c r="AA20" s="34">
        <f t="shared" ca="1" si="6"/>
        <v>7.5694768975416977</v>
      </c>
      <c r="AB20" s="34">
        <f t="shared" ca="1" si="6"/>
        <v>7.5568717880637868</v>
      </c>
      <c r="AC20" s="34">
        <f t="shared" ca="1" si="6"/>
        <v>7.5486709820726379</v>
      </c>
      <c r="AD20" s="34">
        <f t="shared" ca="1" si="6"/>
        <v>7.5440360965875985</v>
      </c>
      <c r="AE20" s="34">
        <f ca="1">(0.5*AE19 + 0.5*AE21 + AD20)/2</f>
        <v>7.5425357302539213</v>
      </c>
      <c r="AF20" s="33"/>
    </row>
    <row r="21" spans="1:35" x14ac:dyDescent="0.2">
      <c r="A21" s="39"/>
      <c r="B21" s="11">
        <f t="shared" si="0"/>
        <v>17.5</v>
      </c>
      <c r="C21" s="34">
        <f ca="1">(0.5*C20 + 0.5*C22 + D21)/2</f>
        <v>11.017919002724609</v>
      </c>
      <c r="D21" s="34">
        <f t="shared" ca="1" si="4"/>
        <v>11.015051871353672</v>
      </c>
      <c r="E21" s="34">
        <f t="shared" ca="1" si="4"/>
        <v>11.006213050723606</v>
      </c>
      <c r="F21" s="34">
        <f t="shared" ca="1" si="4"/>
        <v>10.990649038562591</v>
      </c>
      <c r="G21" s="34">
        <f t="shared" ca="1" si="4"/>
        <v>10.966946908060329</v>
      </c>
      <c r="H21" s="34">
        <f t="shared" ca="1" si="4"/>
        <v>10.932723163596593</v>
      </c>
      <c r="I21" s="34">
        <f t="shared" ca="1" si="4"/>
        <v>10.883996070106523</v>
      </c>
      <c r="J21" s="34">
        <f t="shared" ca="1" si="4"/>
        <v>10.813957014198104</v>
      </c>
      <c r="K21" s="34">
        <f t="shared" ca="1" si="4"/>
        <v>10.710770833360082</v>
      </c>
      <c r="L21" s="34">
        <f t="shared" ca="1" si="4"/>
        <v>10.554985771935971</v>
      </c>
      <c r="M21" s="34">
        <f t="shared" ca="1" si="4"/>
        <v>10.325273855704229</v>
      </c>
      <c r="N21" s="34">
        <f t="shared" ca="1" si="5"/>
        <v>10.070861159640476</v>
      </c>
      <c r="O21" s="34">
        <f t="shared" ca="1" si="5"/>
        <v>9.8125365677471432</v>
      </c>
      <c r="P21" s="34">
        <f t="shared" ca="1" si="5"/>
        <v>9.5555688064645601</v>
      </c>
      <c r="Q21" s="34">
        <f t="shared" ca="1" si="5"/>
        <v>9.299971476074834</v>
      </c>
      <c r="R21" s="34">
        <f t="shared" ca="1" si="5"/>
        <v>9.0443754344725349</v>
      </c>
      <c r="S21" s="34">
        <f t="shared" ca="1" si="5"/>
        <v>8.7874114916801744</v>
      </c>
      <c r="T21" s="34">
        <f t="shared" ca="1" si="5"/>
        <v>8.5290930592665077</v>
      </c>
      <c r="U21" s="34">
        <f t="shared" ca="1" si="5"/>
        <v>8.274688338710849</v>
      </c>
      <c r="V21" s="34">
        <f t="shared" ca="1" si="5"/>
        <v>8.044984833036585</v>
      </c>
      <c r="W21" s="34">
        <f t="shared" ca="1" si="5"/>
        <v>7.8892057397569326</v>
      </c>
      <c r="X21" s="34">
        <f t="shared" ca="1" si="6"/>
        <v>7.7860236719487306</v>
      </c>
      <c r="Y21" s="34">
        <f t="shared" ca="1" si="6"/>
        <v>7.7159875389074495</v>
      </c>
      <c r="Z21" s="34">
        <f t="shared" ca="1" si="6"/>
        <v>7.6672625832619694</v>
      </c>
      <c r="AA21" s="34">
        <f t="shared" ca="1" si="6"/>
        <v>7.6330404156259588</v>
      </c>
      <c r="AB21" s="34">
        <f t="shared" ca="1" si="6"/>
        <v>7.6093394248470352</v>
      </c>
      <c r="AC21" s="34">
        <f t="shared" ca="1" si="6"/>
        <v>7.593776185326929</v>
      </c>
      <c r="AD21" s="34">
        <f t="shared" ca="1" si="6"/>
        <v>7.5849378096480002</v>
      </c>
      <c r="AE21" s="34">
        <f ca="1">(0.5*AE20 + 0.5*AE22 + AD21)/2</f>
        <v>7.5820708154562979</v>
      </c>
      <c r="AF21" s="33"/>
    </row>
    <row r="22" spans="1:35" x14ac:dyDescent="0.2">
      <c r="A22" s="39"/>
      <c r="B22" s="11">
        <f t="shared" si="0"/>
        <v>16.25</v>
      </c>
      <c r="C22" s="34">
        <f ca="1">(0.5*C21 + 0.5*C23 + D22)/2</f>
        <v>10.984113718056129</v>
      </c>
      <c r="D22" s="34">
        <f t="shared" ca="1" si="4"/>
        <v>10.980117209347572</v>
      </c>
      <c r="E22" s="34">
        <f t="shared" ca="1" si="4"/>
        <v>10.967828204456985</v>
      </c>
      <c r="F22" s="34">
        <f t="shared" ca="1" si="4"/>
        <v>10.946314345745577</v>
      </c>
      <c r="G22" s="34">
        <f t="shared" ca="1" si="4"/>
        <v>10.913899333471232</v>
      </c>
      <c r="H22" s="34">
        <f t="shared" ca="1" si="4"/>
        <v>10.867953141982397</v>
      </c>
      <c r="I22" s="34">
        <f t="shared" ca="1" si="4"/>
        <v>10.804556209997941</v>
      </c>
      <c r="J22" s="34">
        <f t="shared" ca="1" si="4"/>
        <v>10.718061022609628</v>
      </c>
      <c r="K22" s="34">
        <f t="shared" ca="1" si="4"/>
        <v>10.600843561984441</v>
      </c>
      <c r="L22" s="34">
        <f t="shared" ca="1" si="4"/>
        <v>10.444479750742396</v>
      </c>
      <c r="M22" s="34">
        <f t="shared" ca="1" si="4"/>
        <v>10.245854481133399</v>
      </c>
      <c r="N22" s="34">
        <f t="shared" ca="1" si="5"/>
        <v>10.021698035095465</v>
      </c>
      <c r="O22" s="34">
        <f t="shared" ca="1" si="5"/>
        <v>9.7852350546569795</v>
      </c>
      <c r="P22" s="34">
        <f t="shared" ca="1" si="5"/>
        <v>9.5435340370996133</v>
      </c>
      <c r="Q22" s="34">
        <f t="shared" ca="1" si="5"/>
        <v>9.2999709705051021</v>
      </c>
      <c r="R22" s="34">
        <f t="shared" ca="1" si="5"/>
        <v>9.0564089922705797</v>
      </c>
      <c r="S22" s="34">
        <f t="shared" ca="1" si="5"/>
        <v>8.8147111537552547</v>
      </c>
      <c r="T22" s="34">
        <f t="shared" ca="1" si="5"/>
        <v>8.5782531575054648</v>
      </c>
      <c r="U22" s="34">
        <f t="shared" ca="1" si="5"/>
        <v>8.3541029312186872</v>
      </c>
      <c r="V22" s="34">
        <f t="shared" ca="1" si="5"/>
        <v>8.1554841599893404</v>
      </c>
      <c r="W22" s="34">
        <f t="shared" ca="1" si="5"/>
        <v>7.9991259429440777</v>
      </c>
      <c r="X22" s="34">
        <f t="shared" ca="1" si="6"/>
        <v>7.8819129725872807</v>
      </c>
      <c r="Y22" s="34">
        <f t="shared" ca="1" si="6"/>
        <v>7.7954213108536692</v>
      </c>
      <c r="Z22" s="34">
        <f t="shared" ca="1" si="6"/>
        <v>7.7320271177247299</v>
      </c>
      <c r="AA22" s="34">
        <f t="shared" ca="1" si="6"/>
        <v>7.6860830182101907</v>
      </c>
      <c r="AB22" s="34">
        <f t="shared" ca="1" si="6"/>
        <v>7.6536695483654702</v>
      </c>
      <c r="AC22" s="34">
        <f t="shared" ca="1" si="6"/>
        <v>7.6321567469475893</v>
      </c>
      <c r="AD22" s="34">
        <f t="shared" ca="1" si="6"/>
        <v>7.6198683544597383</v>
      </c>
      <c r="AE22" s="34">
        <f ca="1">(0.5*AE21 + 0.5*AE23 + AD22)/2</f>
        <v>7.6158720348730711</v>
      </c>
      <c r="AF22" s="33"/>
    </row>
    <row r="23" spans="1:35" x14ac:dyDescent="0.2">
      <c r="A23" s="39"/>
      <c r="B23" s="11">
        <f t="shared" si="0"/>
        <v>15</v>
      </c>
      <c r="C23" s="34">
        <f ca="1">(0.5*C22 + 0.5*C24 + D23)/2</f>
        <v>10.958301971518534</v>
      </c>
      <c r="D23" s="34">
        <f t="shared" ca="1" si="4"/>
        <v>10.953475408129421</v>
      </c>
      <c r="E23" s="34">
        <f t="shared" ca="1" si="4"/>
        <v>10.938668593291098</v>
      </c>
      <c r="F23" s="34">
        <f t="shared" ca="1" si="4"/>
        <v>10.912881215200809</v>
      </c>
      <c r="G23" s="34">
        <f t="shared" ca="1" si="4"/>
        <v>10.874383385767151</v>
      </c>
      <c r="H23" s="34">
        <f t="shared" ca="1" si="4"/>
        <v>10.820634360267283</v>
      </c>
      <c r="I23" s="34">
        <f t="shared" ca="1" si="4"/>
        <v>10.748215170947661</v>
      </c>
      <c r="J23" s="34">
        <f t="shared" ca="1" si="4"/>
        <v>10.652887952736666</v>
      </c>
      <c r="K23" s="34">
        <f t="shared" ca="1" si="4"/>
        <v>10.530063390313019</v>
      </c>
      <c r="L23" s="34">
        <f t="shared" ca="1" si="4"/>
        <v>10.376236051903266</v>
      </c>
      <c r="M23" s="34">
        <f t="shared" ca="1" si="4"/>
        <v>10.191967260182807</v>
      </c>
      <c r="N23" s="34">
        <f t="shared" ca="1" si="5"/>
        <v>9.9848425169902875</v>
      </c>
      <c r="O23" s="34">
        <f t="shared" ca="1" si="5"/>
        <v>9.7631727151831438</v>
      </c>
      <c r="P23" s="34">
        <f t="shared" ca="1" si="5"/>
        <v>9.5333624803894637</v>
      </c>
      <c r="Q23" s="34">
        <f t="shared" ca="1" si="5"/>
        <v>9.2999705273341338</v>
      </c>
      <c r="R23" s="34">
        <f t="shared" ca="1" si="5"/>
        <v>9.0665795093635246</v>
      </c>
      <c r="S23" s="34">
        <f t="shared" ca="1" si="5"/>
        <v>8.8367719867948988</v>
      </c>
      <c r="T23" s="34">
        <f t="shared" ca="1" si="5"/>
        <v>8.6151063884729489</v>
      </c>
      <c r="U23" s="34">
        <f t="shared" ca="1" si="5"/>
        <v>8.4079868506374371</v>
      </c>
      <c r="V23" s="34">
        <f t="shared" ca="1" si="5"/>
        <v>8.2237236015989588</v>
      </c>
      <c r="W23" s="34">
        <f t="shared" ca="1" si="5"/>
        <v>8.0699014707496879</v>
      </c>
      <c r="X23" s="34">
        <f t="shared" ca="1" si="6"/>
        <v>7.9470814552857068</v>
      </c>
      <c r="Y23" s="34">
        <f t="shared" ca="1" si="6"/>
        <v>7.8517580398360156</v>
      </c>
      <c r="Z23" s="34">
        <f t="shared" ca="1" si="6"/>
        <v>7.7793419328271725</v>
      </c>
      <c r="AA23" s="34">
        <f t="shared" ca="1" si="6"/>
        <v>7.7255953258689853</v>
      </c>
      <c r="AB23" s="34">
        <f t="shared" ca="1" si="6"/>
        <v>7.6870993091300441</v>
      </c>
      <c r="AC23" s="34">
        <f t="shared" ca="1" si="6"/>
        <v>7.6613131855882974</v>
      </c>
      <c r="AD23" s="34">
        <f t="shared" ca="1" si="6"/>
        <v>7.6465071011709558</v>
      </c>
      <c r="AE23" s="34">
        <f ca="1">(0.5*AE22 + 0.5*AE24 + AD23)/2</f>
        <v>7.6416807636822366</v>
      </c>
      <c r="AF23" s="33"/>
    </row>
    <row r="24" spans="1:35" x14ac:dyDescent="0.2">
      <c r="A24" s="39"/>
      <c r="B24" s="11">
        <f t="shared" si="0"/>
        <v>13.75</v>
      </c>
      <c r="C24" s="34">
        <f ca="1">(0.5*C23 + 0.5*C25 + D24)/2</f>
        <v>10.942143961534526</v>
      </c>
      <c r="D24" s="34">
        <f t="shared" ca="1" si="4"/>
        <v>10.936814278746173</v>
      </c>
      <c r="E24" s="34">
        <f t="shared" ca="1" si="4"/>
        <v>10.920489984877751</v>
      </c>
      <c r="F24" s="34">
        <f t="shared" ca="1" si="4"/>
        <v>10.892159006594895</v>
      </c>
      <c r="G24" s="34">
        <f t="shared" ca="1" si="4"/>
        <v>10.850119148286948</v>
      </c>
      <c r="H24" s="34">
        <f t="shared" ca="1" si="4"/>
        <v>10.791986313186607</v>
      </c>
      <c r="I24" s="34">
        <f t="shared" ca="1" si="4"/>
        <v>10.71478280188477</v>
      </c>
      <c r="J24" s="34">
        <f t="shared" ca="1" si="4"/>
        <v>10.615212951968367</v>
      </c>
      <c r="K24" s="34">
        <f t="shared" ca="1" si="4"/>
        <v>10.490286814964602</v>
      </c>
      <c r="L24" s="34">
        <f t="shared" ca="1" si="4"/>
        <v>10.338434728322525</v>
      </c>
      <c r="M24" s="34">
        <f t="shared" ca="1" si="4"/>
        <v>10.160937009849542</v>
      </c>
      <c r="N24" s="34">
        <f t="shared" ca="1" si="5"/>
        <v>9.9625331576265914</v>
      </c>
      <c r="O24" s="34">
        <f t="shared" ca="1" si="5"/>
        <v>9.7492519637992494</v>
      </c>
      <c r="P24" s="34">
        <f t="shared" ca="1" si="5"/>
        <v>9.5267738196412051</v>
      </c>
      <c r="Q24" s="34">
        <f t="shared" ca="1" si="5"/>
        <v>9.2999703143552566</v>
      </c>
      <c r="R24" s="34">
        <f t="shared" ca="1" si="5"/>
        <v>9.0731676499378384</v>
      </c>
      <c r="S24" s="34">
        <f t="shared" ca="1" si="5"/>
        <v>8.8506919387757108</v>
      </c>
      <c r="T24" s="34">
        <f t="shared" ca="1" si="5"/>
        <v>8.637414505309005</v>
      </c>
      <c r="U24" s="34">
        <f t="shared" ca="1" si="5"/>
        <v>8.439015320660527</v>
      </c>
      <c r="V24" s="34">
        <f t="shared" ca="1" si="5"/>
        <v>8.2615226589371602</v>
      </c>
      <c r="W24" s="34">
        <f t="shared" ca="1" si="5"/>
        <v>8.1096755207804154</v>
      </c>
      <c r="X24" s="34">
        <f t="shared" ca="1" si="6"/>
        <v>7.9847538920716987</v>
      </c>
      <c r="Y24" s="34">
        <f t="shared" ca="1" si="6"/>
        <v>7.8851879447244375</v>
      </c>
      <c r="Z24" s="34">
        <f t="shared" ca="1" si="6"/>
        <v>7.8079876758181488</v>
      </c>
      <c r="AA24" s="34">
        <f t="shared" ca="1" si="6"/>
        <v>7.749857427242965</v>
      </c>
      <c r="AB24" s="34">
        <f t="shared" ca="1" si="6"/>
        <v>7.7078195279867279</v>
      </c>
      <c r="AC24" s="34">
        <f t="shared" ca="1" si="6"/>
        <v>7.6794899141753481</v>
      </c>
      <c r="AD24" s="34">
        <f t="shared" ca="1" si="6"/>
        <v>7.6631664174992178</v>
      </c>
      <c r="AE24" s="34">
        <f ca="1">(0.5*AE23 + 0.5*AE25 + AD24)/2</f>
        <v>7.6578369815014895</v>
      </c>
      <c r="AF24" s="33"/>
    </row>
    <row r="25" spans="1:35" x14ac:dyDescent="0.2">
      <c r="A25" s="39"/>
      <c r="B25" s="11">
        <f t="shared" si="0"/>
        <v>12.5</v>
      </c>
      <c r="C25" s="34">
        <f ca="1">(0.5*C24 + 0.5*D25)</f>
        <v>10.936645973080964</v>
      </c>
      <c r="D25" s="34">
        <f t="shared" ref="D25:AD25" ca="1" si="7">(D24 + 0.5*C25 + 0.5*E25)/2</f>
        <v>10.931148207191573</v>
      </c>
      <c r="E25" s="34">
        <f t="shared" ca="1" si="7"/>
        <v>10.914318527912574</v>
      </c>
      <c r="F25" s="34">
        <f t="shared" ca="1" si="7"/>
        <v>10.885146177798386</v>
      </c>
      <c r="G25" s="34">
        <f t="shared" ca="1" si="7"/>
        <v>10.841948432880841</v>
      </c>
      <c r="H25" s="34">
        <f t="shared" ca="1" si="7"/>
        <v>10.782409546071698</v>
      </c>
      <c r="I25" s="34">
        <f t="shared" ca="1" si="7"/>
        <v>10.703717446527037</v>
      </c>
      <c r="J25" s="34">
        <f t="shared" ca="1" si="7"/>
        <v>10.602894996449823</v>
      </c>
      <c r="K25" s="34">
        <f t="shared" ca="1" si="7"/>
        <v>10.477437039320009</v>
      </c>
      <c r="L25" s="34">
        <f t="shared" ca="1" si="7"/>
        <v>10.326279981702715</v>
      </c>
      <c r="M25" s="34">
        <f t="shared" ca="1" si="7"/>
        <v>10.15081392798718</v>
      </c>
      <c r="N25" s="34">
        <f t="shared" ca="1" si="7"/>
        <v>9.9551022489126701</v>
      </c>
      <c r="O25" s="34">
        <f t="shared" ca="1" si="7"/>
        <v>9.7445293222043361</v>
      </c>
      <c r="P25" s="34">
        <f t="shared" ca="1" si="7"/>
        <v>9.5245117000310131</v>
      </c>
      <c r="Q25" s="34">
        <f t="shared" ca="1" si="7"/>
        <v>9.2999704286423892</v>
      </c>
      <c r="R25" s="34">
        <f t="shared" ca="1" si="7"/>
        <v>9.0754299620560097</v>
      </c>
      <c r="S25" s="34">
        <f t="shared" ca="1" si="7"/>
        <v>8.8554146674258352</v>
      </c>
      <c r="T25" s="34">
        <f t="shared" ca="1" si="7"/>
        <v>8.6448453374817298</v>
      </c>
      <c r="U25" s="34">
        <f t="shared" ca="1" si="7"/>
        <v>8.4491381312514697</v>
      </c>
      <c r="V25" s="34">
        <f t="shared" ca="1" si="7"/>
        <v>8.2736769546043369</v>
      </c>
      <c r="W25" s="34">
        <f t="shared" ca="1" si="7"/>
        <v>8.1225247281196964</v>
      </c>
      <c r="X25" s="34">
        <f t="shared" ca="1" si="7"/>
        <v>7.9970712299779976</v>
      </c>
      <c r="Y25" s="34">
        <f t="shared" ca="1" si="7"/>
        <v>7.8962526821446701</v>
      </c>
      <c r="Z25" s="34">
        <f t="shared" ca="1" si="7"/>
        <v>7.8175638510102345</v>
      </c>
      <c r="AA25" s="34">
        <f t="shared" ca="1" si="7"/>
        <v>7.7580275859406518</v>
      </c>
      <c r="AB25" s="34">
        <f t="shared" ca="1" si="7"/>
        <v>7.7148318338802984</v>
      </c>
      <c r="AC25" s="34">
        <f t="shared" ca="1" si="7"/>
        <v>7.6856608748419006</v>
      </c>
      <c r="AD25" s="34">
        <f t="shared" ca="1" si="7"/>
        <v>7.6688320092914051</v>
      </c>
      <c r="AE25" s="34">
        <f ca="1">(0.5*AE24 + 0.5*AD25)</f>
        <v>7.6633344953964473</v>
      </c>
      <c r="AF25" s="33"/>
    </row>
    <row r="26" spans="1:35" x14ac:dyDescent="0.2">
      <c r="A26" s="39"/>
      <c r="B26" s="11">
        <f t="shared" si="0"/>
        <v>11.25</v>
      </c>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row>
    <row r="27" spans="1:35" x14ac:dyDescent="0.2">
      <c r="A27" s="39"/>
      <c r="B27" s="11">
        <f t="shared" si="0"/>
        <v>10</v>
      </c>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row>
    <row r="28" spans="1:35" x14ac:dyDescent="0.2">
      <c r="A28" s="39"/>
      <c r="B28" s="11">
        <f t="shared" si="0"/>
        <v>8.75</v>
      </c>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row>
    <row r="29" spans="1:35" x14ac:dyDescent="0.2">
      <c r="A29" s="39"/>
      <c r="B29" s="11">
        <f t="shared" si="0"/>
        <v>7.5</v>
      </c>
      <c r="C29" s="25"/>
      <c r="D29" s="25"/>
      <c r="E29" s="25"/>
      <c r="F29" s="33"/>
      <c r="G29" s="33"/>
      <c r="H29" s="33"/>
      <c r="I29" s="33"/>
      <c r="J29" s="33"/>
      <c r="K29" s="33"/>
      <c r="L29" s="33"/>
      <c r="M29" s="33"/>
      <c r="N29" s="33"/>
      <c r="O29" s="33"/>
      <c r="P29" s="33"/>
      <c r="Q29" s="33"/>
      <c r="R29" s="33"/>
      <c r="S29" s="33"/>
      <c r="T29" s="33"/>
      <c r="U29" s="33"/>
      <c r="V29" s="33"/>
      <c r="W29" s="33"/>
      <c r="X29" s="33"/>
      <c r="Y29" s="33"/>
      <c r="Z29" s="33"/>
      <c r="AA29" s="33"/>
      <c r="AB29" s="33"/>
      <c r="AC29" s="33"/>
      <c r="AD29" s="25"/>
      <c r="AE29" s="25"/>
      <c r="AF29" s="25"/>
    </row>
    <row r="30" spans="1:35" x14ac:dyDescent="0.2">
      <c r="A30" s="39"/>
      <c r="B30" s="11">
        <f t="shared" si="0"/>
        <v>6.25</v>
      </c>
      <c r="C30" s="25"/>
      <c r="D30" s="25"/>
      <c r="E30" s="25"/>
      <c r="F30" s="33"/>
      <c r="G30" s="33"/>
      <c r="H30" s="33"/>
      <c r="I30" s="33"/>
      <c r="J30" s="33"/>
      <c r="K30" s="33"/>
      <c r="L30" s="33"/>
      <c r="M30" s="33"/>
      <c r="N30" s="33"/>
      <c r="O30" s="33"/>
      <c r="P30" s="33"/>
      <c r="Q30" s="33"/>
      <c r="R30" s="33"/>
      <c r="S30" s="33"/>
      <c r="T30" s="33"/>
      <c r="U30" s="33"/>
      <c r="V30" s="33"/>
      <c r="W30" s="33"/>
      <c r="X30" s="33"/>
      <c r="Y30" s="33"/>
      <c r="Z30" s="33"/>
      <c r="AA30" s="33"/>
      <c r="AB30" s="33"/>
      <c r="AC30" s="33"/>
      <c r="AD30" s="25"/>
      <c r="AE30" s="25"/>
      <c r="AF30" s="25"/>
    </row>
    <row r="31" spans="1:35" x14ac:dyDescent="0.2">
      <c r="A31" s="39"/>
      <c r="B31" s="11">
        <f t="shared" si="0"/>
        <v>5</v>
      </c>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row>
    <row r="32" spans="1:35" x14ac:dyDescent="0.2">
      <c r="A32" s="39"/>
      <c r="B32" s="11">
        <f t="shared" si="0"/>
        <v>3.75</v>
      </c>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row>
    <row r="33" spans="1:32" x14ac:dyDescent="0.2">
      <c r="A33" s="39"/>
      <c r="B33" s="11">
        <f t="shared" si="0"/>
        <v>2.5</v>
      </c>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row>
    <row r="34" spans="1:32" x14ac:dyDescent="0.2">
      <c r="A34" s="39"/>
      <c r="B34" s="11">
        <f t="shared" si="0"/>
        <v>1.25</v>
      </c>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row>
    <row r="35" spans="1:32" x14ac:dyDescent="0.2">
      <c r="A35" s="40"/>
      <c r="B35" s="12">
        <v>0</v>
      </c>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row>
    <row r="36" spans="1:32" x14ac:dyDescent="0.2">
      <c r="C36" s="6">
        <v>0</v>
      </c>
      <c r="D36" s="5">
        <f t="shared" ref="D36:AF36" si="8">C36+cellsize</f>
        <v>1.25</v>
      </c>
      <c r="E36" s="5">
        <f t="shared" si="8"/>
        <v>2.5</v>
      </c>
      <c r="F36" s="5">
        <f t="shared" si="8"/>
        <v>3.75</v>
      </c>
      <c r="G36" s="5">
        <f t="shared" si="8"/>
        <v>5</v>
      </c>
      <c r="H36" s="5">
        <f t="shared" si="8"/>
        <v>6.25</v>
      </c>
      <c r="I36" s="5">
        <f t="shared" si="8"/>
        <v>7.5</v>
      </c>
      <c r="J36" s="5">
        <f t="shared" si="8"/>
        <v>8.75</v>
      </c>
      <c r="K36" s="5">
        <f t="shared" si="8"/>
        <v>10</v>
      </c>
      <c r="L36" s="5">
        <f t="shared" si="8"/>
        <v>11.25</v>
      </c>
      <c r="M36" s="5">
        <f t="shared" si="8"/>
        <v>12.5</v>
      </c>
      <c r="N36" s="5">
        <f t="shared" si="8"/>
        <v>13.75</v>
      </c>
      <c r="O36" s="5">
        <f t="shared" si="8"/>
        <v>15</v>
      </c>
      <c r="P36" s="5">
        <f t="shared" si="8"/>
        <v>16.25</v>
      </c>
      <c r="Q36" s="5">
        <f t="shared" si="8"/>
        <v>17.5</v>
      </c>
      <c r="R36" s="5">
        <f t="shared" si="8"/>
        <v>18.75</v>
      </c>
      <c r="S36" s="5">
        <f t="shared" si="8"/>
        <v>20</v>
      </c>
      <c r="T36" s="5">
        <f t="shared" si="8"/>
        <v>21.25</v>
      </c>
      <c r="U36" s="5">
        <f t="shared" si="8"/>
        <v>22.5</v>
      </c>
      <c r="V36" s="5">
        <f t="shared" si="8"/>
        <v>23.75</v>
      </c>
      <c r="W36" s="5">
        <f t="shared" si="8"/>
        <v>25</v>
      </c>
      <c r="X36" s="5">
        <f t="shared" si="8"/>
        <v>26.25</v>
      </c>
      <c r="Y36" s="5">
        <f t="shared" si="8"/>
        <v>27.5</v>
      </c>
      <c r="Z36" s="5">
        <f t="shared" si="8"/>
        <v>28.75</v>
      </c>
      <c r="AA36" s="5">
        <f t="shared" si="8"/>
        <v>30</v>
      </c>
      <c r="AB36" s="5">
        <f t="shared" si="8"/>
        <v>31.25</v>
      </c>
      <c r="AC36" s="5">
        <f t="shared" si="8"/>
        <v>32.5</v>
      </c>
      <c r="AD36" s="5">
        <f t="shared" si="8"/>
        <v>33.75</v>
      </c>
      <c r="AE36" s="5">
        <f t="shared" si="8"/>
        <v>35</v>
      </c>
      <c r="AF36" s="13">
        <f t="shared" si="8"/>
        <v>36.25</v>
      </c>
    </row>
    <row r="37" spans="1:32" ht="26.25" x14ac:dyDescent="0.4">
      <c r="C37" s="41" t="s">
        <v>13</v>
      </c>
      <c r="D37" s="42"/>
      <c r="E37" s="42"/>
      <c r="F37" s="42"/>
      <c r="G37" s="42"/>
      <c r="H37" s="42"/>
      <c r="I37" s="42"/>
      <c r="J37" s="42"/>
      <c r="K37" s="42"/>
      <c r="L37" s="42"/>
      <c r="M37" s="42"/>
      <c r="N37" s="42"/>
      <c r="O37" s="42"/>
      <c r="P37" s="42"/>
      <c r="Q37" s="42"/>
      <c r="R37" s="42"/>
      <c r="S37" s="42"/>
      <c r="T37" s="42"/>
      <c r="U37" s="42"/>
      <c r="V37" s="42"/>
      <c r="W37" s="42"/>
      <c r="X37" s="42"/>
      <c r="Y37" s="42"/>
      <c r="Z37" s="42"/>
      <c r="AA37" s="42"/>
      <c r="AB37" s="42"/>
      <c r="AC37" s="42"/>
      <c r="AD37" s="42"/>
      <c r="AE37" s="42"/>
      <c r="AF37" s="43"/>
    </row>
  </sheetData>
  <mergeCells count="2">
    <mergeCell ref="A10:A35"/>
    <mergeCell ref="C37:AF37"/>
  </mergeCells>
  <phoneticPr fontId="1" type="noConversion"/>
  <conditionalFormatting sqref="C10:AF35">
    <cfRule type="colorScale" priority="1">
      <colorScale>
        <cfvo type="min"/>
        <cfvo type="percentile" val="50"/>
        <cfvo type="max"/>
        <color rgb="FF5A8AC6"/>
        <color rgb="FFFFEB84"/>
        <color rgb="FFF8696B"/>
      </colorScale>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75" r:id="rId4" name="cmdRedrawArrows">
          <controlPr defaultSize="0" autoLine="0" r:id="rId5">
            <anchor moveWithCells="1">
              <from>
                <xdr:col>14</xdr:col>
                <xdr:colOff>238125</xdr:colOff>
                <xdr:row>6</xdr:row>
                <xdr:rowOff>76200</xdr:rowOff>
              </from>
              <to>
                <xdr:col>18</xdr:col>
                <xdr:colOff>19050</xdr:colOff>
                <xdr:row>8</xdr:row>
                <xdr:rowOff>0</xdr:rowOff>
              </to>
            </anchor>
          </controlPr>
        </control>
      </mc:Choice>
      <mc:Fallback>
        <control shapeId="1075" r:id="rId4" name="cmdRedrawArrows"/>
      </mc:Fallback>
    </mc:AlternateContent>
    <mc:AlternateContent xmlns:mc="http://schemas.openxmlformats.org/markup-compatibility/2006">
      <mc:Choice Requires="x14">
        <control shapeId="1073" r:id="rId6" name="chkColorShade">
          <controlPr defaultSize="0" autoLine="0" r:id="rId7">
            <anchor moveWithCells="1">
              <from>
                <xdr:col>13</xdr:col>
                <xdr:colOff>266700</xdr:colOff>
                <xdr:row>1</xdr:row>
                <xdr:rowOff>0</xdr:rowOff>
              </from>
              <to>
                <xdr:col>18</xdr:col>
                <xdr:colOff>257175</xdr:colOff>
                <xdr:row>2</xdr:row>
                <xdr:rowOff>85725</xdr:rowOff>
              </to>
            </anchor>
          </controlPr>
        </control>
      </mc:Choice>
      <mc:Fallback>
        <control shapeId="1073" r:id="rId6" name="chkColorShade"/>
      </mc:Fallback>
    </mc:AlternateContent>
    <mc:AlternateContent xmlns:mc="http://schemas.openxmlformats.org/markup-compatibility/2006">
      <mc:Choice Requires="x14">
        <control shapeId="1072" r:id="rId8" name="cmdBuildEquations">
          <controlPr defaultSize="0" autoLine="0" r:id="rId9">
            <anchor moveWithCells="1">
              <from>
                <xdr:col>9</xdr:col>
                <xdr:colOff>171450</xdr:colOff>
                <xdr:row>6</xdr:row>
                <xdr:rowOff>47625</xdr:rowOff>
              </from>
              <to>
                <xdr:col>13</xdr:col>
                <xdr:colOff>0</xdr:colOff>
                <xdr:row>8</xdr:row>
                <xdr:rowOff>19050</xdr:rowOff>
              </to>
            </anchor>
          </controlPr>
        </control>
      </mc:Choice>
      <mc:Fallback>
        <control shapeId="1072" r:id="rId8" name="cmdBuildEquations"/>
      </mc:Fallback>
    </mc:AlternateContent>
    <mc:AlternateContent xmlns:mc="http://schemas.openxmlformats.org/markup-compatibility/2006">
      <mc:Choice Requires="x14">
        <control shapeId="1074" r:id="rId10" name="chkFlowDirections">
          <controlPr defaultSize="0" autoLine="0" r:id="rId11">
            <anchor moveWithCells="1">
              <from>
                <xdr:col>13</xdr:col>
                <xdr:colOff>257175</xdr:colOff>
                <xdr:row>2</xdr:row>
                <xdr:rowOff>95250</xdr:rowOff>
              </from>
              <to>
                <xdr:col>18</xdr:col>
                <xdr:colOff>161925</xdr:colOff>
                <xdr:row>3</xdr:row>
                <xdr:rowOff>142875</xdr:rowOff>
              </to>
            </anchor>
          </controlPr>
        </control>
      </mc:Choice>
      <mc:Fallback>
        <control shapeId="1074" r:id="rId10" name="chkFlowDirection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I37"/>
  <sheetViews>
    <sheetView showGridLines="0" workbookViewId="0">
      <selection activeCell="C10" sqref="C10"/>
    </sheetView>
  </sheetViews>
  <sheetFormatPr defaultRowHeight="12.75" x14ac:dyDescent="0.2"/>
  <cols>
    <col min="1" max="1" width="5.140625" customWidth="1"/>
    <col min="2" max="32" width="4.5703125" customWidth="1"/>
    <col min="35" max="35" width="9.5703125" bestFit="1" customWidth="1"/>
  </cols>
  <sheetData>
    <row r="1" spans="1:32" ht="23.25" x14ac:dyDescent="0.35">
      <c r="A1" s="1" t="s">
        <v>11</v>
      </c>
      <c r="B1" s="1"/>
    </row>
    <row r="2" spans="1:32" x14ac:dyDescent="0.2">
      <c r="K2" s="4" t="s">
        <v>14</v>
      </c>
      <c r="L2" s="20">
        <v>0.2</v>
      </c>
      <c r="M2" s="2" t="str">
        <f>"[" &amp; lunit &amp; "/" &amp; tunit &amp; "]"</f>
        <v>[m/day]</v>
      </c>
    </row>
    <row r="6" spans="1:32" x14ac:dyDescent="0.2">
      <c r="D6" s="4" t="s">
        <v>25</v>
      </c>
      <c r="E6" s="20">
        <f>MAX(C10:AF35)</f>
        <v>0.38600059321952579</v>
      </c>
      <c r="F6" s="2" t="str">
        <f>"[" &amp; lunit &amp; "/" &amp; tunit &amp; "]"</f>
        <v>[m/day]</v>
      </c>
    </row>
    <row r="10" spans="1:32" x14ac:dyDescent="0.2">
      <c r="A10" s="44" t="s">
        <v>12</v>
      </c>
      <c r="B10" s="10">
        <f t="shared" ref="B10:B34" si="0">B11+cellsize</f>
        <v>31.25</v>
      </c>
      <c r="C10" s="28"/>
      <c r="D10" s="28"/>
      <c r="E10" s="28"/>
      <c r="F10" s="28"/>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row>
    <row r="11" spans="1:32" x14ac:dyDescent="0.2">
      <c r="A11" s="45"/>
      <c r="B11" s="11">
        <f t="shared" si="0"/>
        <v>30</v>
      </c>
      <c r="C11" s="28"/>
      <c r="D11" s="28"/>
      <c r="E11" s="28"/>
      <c r="F11" s="28"/>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row>
    <row r="12" spans="1:32" x14ac:dyDescent="0.2">
      <c r="A12" s="45"/>
      <c r="B12" s="11">
        <f t="shared" si="0"/>
        <v>28.75</v>
      </c>
      <c r="C12" s="28"/>
      <c r="D12" s="28"/>
      <c r="E12" s="28"/>
      <c r="F12" s="28"/>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row>
    <row r="13" spans="1:32" x14ac:dyDescent="0.2">
      <c r="A13" s="45"/>
      <c r="B13" s="11">
        <f t="shared" si="0"/>
        <v>27.5</v>
      </c>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row>
    <row r="14" spans="1:32" x14ac:dyDescent="0.2">
      <c r="A14" s="45"/>
      <c r="B14" s="11">
        <f t="shared" si="0"/>
        <v>26.25</v>
      </c>
      <c r="C14" s="28"/>
      <c r="D14" s="28"/>
      <c r="E14" s="28"/>
      <c r="F14" s="28"/>
      <c r="G14" s="28"/>
      <c r="H14" s="28"/>
      <c r="I14" s="28"/>
      <c r="J14" s="28"/>
      <c r="K14" s="28"/>
      <c r="L14" s="28"/>
      <c r="M14" s="28"/>
      <c r="N14" s="28"/>
      <c r="O14" s="28"/>
      <c r="P14" s="28"/>
      <c r="Q14" s="28"/>
      <c r="R14" s="28"/>
      <c r="S14" s="28"/>
      <c r="T14" s="28"/>
      <c r="U14" s="28"/>
      <c r="V14" s="28"/>
      <c r="W14" s="28"/>
      <c r="X14" s="28"/>
      <c r="Y14" s="28"/>
      <c r="Z14" s="28"/>
      <c r="AA14" s="28"/>
      <c r="AB14" s="28"/>
      <c r="AC14" s="28"/>
      <c r="AD14" s="28"/>
      <c r="AE14" s="28"/>
      <c r="AF14" s="28"/>
    </row>
    <row r="15" spans="1:32" x14ac:dyDescent="0.2">
      <c r="A15" s="45"/>
      <c r="B15" s="11">
        <f t="shared" si="0"/>
        <v>25</v>
      </c>
      <c r="C15" s="28"/>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row>
    <row r="16" spans="1:32" x14ac:dyDescent="0.2">
      <c r="A16" s="45"/>
      <c r="B16" s="11">
        <f t="shared" si="0"/>
        <v>23.75</v>
      </c>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row>
    <row r="17" spans="1:35" x14ac:dyDescent="0.2">
      <c r="A17" s="45"/>
      <c r="B17" s="11">
        <f t="shared" si="0"/>
        <v>22.5</v>
      </c>
      <c r="C17" s="36"/>
      <c r="D17" s="36"/>
      <c r="E17" s="36"/>
      <c r="F17" s="36"/>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row>
    <row r="18" spans="1:35" x14ac:dyDescent="0.2">
      <c r="A18" s="45"/>
      <c r="B18" s="11">
        <f t="shared" si="0"/>
        <v>21.25</v>
      </c>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row>
    <row r="19" spans="1:35" x14ac:dyDescent="0.2">
      <c r="A19" s="45"/>
      <c r="B19" s="11">
        <f t="shared" si="0"/>
        <v>20</v>
      </c>
      <c r="C19" s="29">
        <v>3.4168273268166162E-2</v>
      </c>
      <c r="D19" s="29">
        <v>3.5369298436243923E-2</v>
      </c>
      <c r="E19" s="29">
        <v>3.9082113058555024E-2</v>
      </c>
      <c r="F19" s="29">
        <v>4.5652050322445348E-2</v>
      </c>
      <c r="G19" s="29">
        <v>5.5750354369999401E-2</v>
      </c>
      <c r="H19" s="29">
        <v>7.0585533567422948E-2</v>
      </c>
      <c r="I19" s="29">
        <v>9.2412037500814392E-2</v>
      </c>
      <c r="J19" s="29">
        <v>0.12585090389974168</v>
      </c>
      <c r="K19" s="29">
        <v>0.18167959613728329</v>
      </c>
      <c r="L19" s="29">
        <v>0.36849095231048046</v>
      </c>
      <c r="M19" s="37">
        <v>0.38600059321952579</v>
      </c>
      <c r="N19" s="37">
        <v>0.27264134686494074</v>
      </c>
      <c r="O19" s="37">
        <v>0.23480633915680607</v>
      </c>
      <c r="P19" s="37">
        <v>0.22059426100063634</v>
      </c>
      <c r="Q19" s="37">
        <v>0.21674225110403908</v>
      </c>
      <c r="R19" s="37">
        <v>0.22044557991508346</v>
      </c>
      <c r="S19" s="37">
        <v>0.23449307246231124</v>
      </c>
      <c r="T19" s="37">
        <v>0.27210646185564313</v>
      </c>
      <c r="U19" s="37">
        <v>0.38503474485953798</v>
      </c>
      <c r="V19" s="30">
        <v>0.36743768224748252</v>
      </c>
      <c r="W19" s="30">
        <v>0.18106819372021193</v>
      </c>
      <c r="X19" s="30">
        <v>0.12537128877336415</v>
      </c>
      <c r="Y19" s="30">
        <v>9.2013600415211269E-2</v>
      </c>
      <c r="Z19" s="30">
        <v>7.0242345954635257E-2</v>
      </c>
      <c r="AA19" s="30">
        <v>5.5446469839584719E-2</v>
      </c>
      <c r="AB19" s="30">
        <v>4.5376054047442695E-2</v>
      </c>
      <c r="AC19" s="30">
        <v>3.8824844991526677E-2</v>
      </c>
      <c r="AD19" s="30">
        <v>3.5122769460475212E-2</v>
      </c>
      <c r="AE19" s="30">
        <v>3.3925060471563032E-2</v>
      </c>
      <c r="AF19" s="36"/>
    </row>
    <row r="20" spans="1:35" x14ac:dyDescent="0.2">
      <c r="A20" s="45"/>
      <c r="B20" s="11">
        <f t="shared" si="0"/>
        <v>18.75</v>
      </c>
      <c r="C20" s="37">
        <v>3.2983728468823352E-2</v>
      </c>
      <c r="D20" s="37">
        <v>3.4197704851395658E-2</v>
      </c>
      <c r="E20" s="37">
        <v>3.7998731003094942E-2</v>
      </c>
      <c r="F20" s="37">
        <v>4.4667686131752406E-2</v>
      </c>
      <c r="G20" s="37">
        <v>5.4813440004542184E-2</v>
      </c>
      <c r="H20" s="37">
        <v>6.9543595341516259E-2</v>
      </c>
      <c r="I20" s="37">
        <v>9.0901064133744949E-2</v>
      </c>
      <c r="J20" s="37">
        <v>0.12302990801087925</v>
      </c>
      <c r="K20" s="37">
        <v>0.17599250443627781</v>
      </c>
      <c r="L20" s="37">
        <v>0.28156741838465638</v>
      </c>
      <c r="M20" s="37">
        <v>0.25961996421695638</v>
      </c>
      <c r="N20" s="37">
        <v>0.23907358319054653</v>
      </c>
      <c r="O20" s="37">
        <v>0.22374667121165401</v>
      </c>
      <c r="P20" s="37">
        <v>0.21554819846545104</v>
      </c>
      <c r="Q20" s="37">
        <v>0.21299746415632029</v>
      </c>
      <c r="R20" s="37">
        <v>0.21541087378739704</v>
      </c>
      <c r="S20" s="37">
        <v>0.22346707217393022</v>
      </c>
      <c r="T20" s="37">
        <v>0.23864117177884142</v>
      </c>
      <c r="U20" s="37">
        <v>0.2590254042727097</v>
      </c>
      <c r="V20" s="37">
        <v>0.28078227416968998</v>
      </c>
      <c r="W20" s="37">
        <v>0.17543036687557156</v>
      </c>
      <c r="X20" s="37">
        <v>0.12258084388199721</v>
      </c>
      <c r="Y20" s="37">
        <v>9.0524149105998042E-2</v>
      </c>
      <c r="Z20" s="37">
        <v>6.9217443911847767E-2</v>
      </c>
      <c r="AA20" s="37">
        <v>5.4524092755503593E-2</v>
      </c>
      <c r="AB20" s="37">
        <v>4.440462192676909E-2</v>
      </c>
      <c r="AC20" s="37">
        <v>3.7753248895319488E-2</v>
      </c>
      <c r="AD20" s="37">
        <v>3.3962194412620425E-2</v>
      </c>
      <c r="AE20" s="37">
        <v>3.2751281219983878E-2</v>
      </c>
      <c r="AF20" s="36"/>
    </row>
    <row r="21" spans="1:35" x14ac:dyDescent="0.2">
      <c r="A21" s="45"/>
      <c r="B21" s="11">
        <f t="shared" si="0"/>
        <v>17.5</v>
      </c>
      <c r="C21" s="37">
        <v>2.9540799304506014E-2</v>
      </c>
      <c r="D21" s="37">
        <v>3.0809122267421059E-2</v>
      </c>
      <c r="E21" s="37">
        <v>3.491181295707086E-2</v>
      </c>
      <c r="F21" s="37">
        <v>4.1910695626817075E-2</v>
      </c>
      <c r="G21" s="37">
        <v>5.2218961479646255E-2</v>
      </c>
      <c r="H21" s="37">
        <v>6.6638326280381036E-2</v>
      </c>
      <c r="I21" s="37">
        <v>8.6494649901012632E-2</v>
      </c>
      <c r="J21" s="37">
        <v>0.11375936320610215</v>
      </c>
      <c r="K21" s="37">
        <v>0.15058351743660489</v>
      </c>
      <c r="L21" s="37">
        <v>0.19440468260873964</v>
      </c>
      <c r="M21" s="37">
        <v>0.20731428691348275</v>
      </c>
      <c r="N21" s="37">
        <v>0.2092963488311779</v>
      </c>
      <c r="O21" s="37">
        <v>0.20732081470240324</v>
      </c>
      <c r="P21" s="37">
        <v>0.20527392181431386</v>
      </c>
      <c r="Q21" s="37">
        <v>0.20446525876352228</v>
      </c>
      <c r="R21" s="37">
        <v>0.20515553483807877</v>
      </c>
      <c r="S21" s="37">
        <v>0.20708659573352883</v>
      </c>
      <c r="T21" s="37">
        <v>0.20895327219048018</v>
      </c>
      <c r="U21" s="37">
        <v>0.20687843710872597</v>
      </c>
      <c r="V21" s="37">
        <v>0.19390669482276623</v>
      </c>
      <c r="W21" s="37">
        <v>0.15014287378095328</v>
      </c>
      <c r="X21" s="37">
        <v>0.11338169737570769</v>
      </c>
      <c r="Y21" s="37">
        <v>8.6169421970968649E-2</v>
      </c>
      <c r="Z21" s="37">
        <v>6.6354502500610077E-2</v>
      </c>
      <c r="AA21" s="37">
        <v>5.1966802445501795E-2</v>
      </c>
      <c r="AB21" s="37">
        <v>4.1681515312991142E-2</v>
      </c>
      <c r="AC21" s="37">
        <v>3.4697725277778591E-2</v>
      </c>
      <c r="AD21" s="37">
        <v>3.0603158676560358E-2</v>
      </c>
      <c r="AE21" s="37">
        <v>2.9337241207219394E-2</v>
      </c>
      <c r="AF21" s="36"/>
    </row>
    <row r="22" spans="1:35" x14ac:dyDescent="0.2">
      <c r="A22" s="45"/>
      <c r="B22" s="11">
        <f t="shared" si="0"/>
        <v>16.25</v>
      </c>
      <c r="C22" s="37">
        <v>2.4149669661407854E-2</v>
      </c>
      <c r="D22" s="37">
        <v>2.5566630108172655E-2</v>
      </c>
      <c r="E22" s="37">
        <v>3.0303487968903843E-2</v>
      </c>
      <c r="F22" s="37">
        <v>3.7951956981615194E-2</v>
      </c>
      <c r="G22" s="37">
        <v>4.8618468948201925E-2</v>
      </c>
      <c r="H22" s="37">
        <v>6.2755621458422631E-2</v>
      </c>
      <c r="I22" s="37">
        <v>8.1035606927998036E-2</v>
      </c>
      <c r="J22" s="37">
        <v>0.10403276251798312</v>
      </c>
      <c r="K22" s="37">
        <v>0.13132047887036608</v>
      </c>
      <c r="L22" s="37">
        <v>0.15915864199369878</v>
      </c>
      <c r="M22" s="37">
        <v>0.17748062378291557</v>
      </c>
      <c r="N22" s="37">
        <v>0.18756081556795032</v>
      </c>
      <c r="O22" s="37">
        <v>0.19236732478214125</v>
      </c>
      <c r="P22" s="37">
        <v>0.19434600997268278</v>
      </c>
      <c r="Q22" s="37">
        <v>0.19483768339502372</v>
      </c>
      <c r="R22" s="37">
        <v>0.19424653661543231</v>
      </c>
      <c r="S22" s="37">
        <v>0.19217445484459239</v>
      </c>
      <c r="T22" s="37">
        <v>0.18728764175004076</v>
      </c>
      <c r="U22" s="37">
        <v>0.17714884323052002</v>
      </c>
      <c r="V22" s="37">
        <v>0.15880027260538604</v>
      </c>
      <c r="W22" s="37">
        <v>0.1309815947363473</v>
      </c>
      <c r="X22" s="37">
        <v>0.10373000766352175</v>
      </c>
      <c r="Y22" s="37">
        <v>8.0770624503743324E-2</v>
      </c>
      <c r="Z22" s="37">
        <v>6.2524402243929855E-2</v>
      </c>
      <c r="AA22" s="37">
        <v>4.8414991332901357E-2</v>
      </c>
      <c r="AB22" s="37">
        <v>3.776930514022659E-2</v>
      </c>
      <c r="AC22" s="37">
        <v>3.0134223644878975E-2</v>
      </c>
      <c r="AD22" s="37">
        <v>2.5403662412945324E-2</v>
      </c>
      <c r="AE22" s="37">
        <v>2.3988247415884886E-2</v>
      </c>
      <c r="AF22" s="36"/>
    </row>
    <row r="23" spans="1:35" x14ac:dyDescent="0.2">
      <c r="A23" s="45"/>
      <c r="B23" s="11">
        <f t="shared" si="0"/>
        <v>15</v>
      </c>
      <c r="C23" s="37">
        <v>1.7286268517301747E-2</v>
      </c>
      <c r="D23" s="37">
        <v>1.9077644363674869E-2</v>
      </c>
      <c r="E23" s="37">
        <v>2.500556181199123E-2</v>
      </c>
      <c r="F23" s="37">
        <v>3.3690916837579341E-2</v>
      </c>
      <c r="G23" s="37">
        <v>4.4938826602992761E-2</v>
      </c>
      <c r="H23" s="37">
        <v>5.900152698270713E-2</v>
      </c>
      <c r="I23" s="37">
        <v>7.6209824321538819E-2</v>
      </c>
      <c r="J23" s="37">
        <v>9.6592795624112313E-2</v>
      </c>
      <c r="K23" s="37">
        <v>0.11930153633974047</v>
      </c>
      <c r="L23" s="37">
        <v>0.14186965620828426</v>
      </c>
      <c r="M23" s="37">
        <v>0.16032482014982016</v>
      </c>
      <c r="N23" s="37">
        <v>0.17324491103971382</v>
      </c>
      <c r="O23" s="37">
        <v>0.1812336656856337</v>
      </c>
      <c r="P23" s="37">
        <v>0.18543160447864712</v>
      </c>
      <c r="Q23" s="37">
        <v>0.18670064283589247</v>
      </c>
      <c r="R23" s="37">
        <v>0.18534728131054987</v>
      </c>
      <c r="S23" s="37">
        <v>0.18107243668801576</v>
      </c>
      <c r="T23" s="37">
        <v>0.17302157818485922</v>
      </c>
      <c r="U23" s="37">
        <v>0.16006097360921279</v>
      </c>
      <c r="V23" s="37">
        <v>0.1415914816425268</v>
      </c>
      <c r="W23" s="37">
        <v>0.11903455237262307</v>
      </c>
      <c r="X23" s="37">
        <v>9.6351238972814737E-2</v>
      </c>
      <c r="Y23" s="37">
        <v>7.5998671520903685E-2</v>
      </c>
      <c r="Z23" s="37">
        <v>5.8820419697576211E-2</v>
      </c>
      <c r="AA23" s="37">
        <v>4.4784614379810767E-2</v>
      </c>
      <c r="AB23" s="37">
        <v>3.3558683890062377E-2</v>
      </c>
      <c r="AC23" s="37">
        <v>2.488857606163826E-2</v>
      </c>
      <c r="AD23" s="37">
        <v>1.8967432071768989E-2</v>
      </c>
      <c r="AE23" s="37">
        <v>1.7176944557013723E-2</v>
      </c>
      <c r="AF23" s="36"/>
      <c r="AI23" s="16"/>
    </row>
    <row r="24" spans="1:35" x14ac:dyDescent="0.2">
      <c r="A24" s="45"/>
      <c r="B24" s="11">
        <f t="shared" si="0"/>
        <v>13.75</v>
      </c>
      <c r="C24" s="37">
        <v>9.6816659688922883E-3</v>
      </c>
      <c r="D24" s="37">
        <v>1.246817304273902E-2</v>
      </c>
      <c r="E24" s="37">
        <v>2.0379151523068934E-2</v>
      </c>
      <c r="F24" s="37">
        <v>3.0301001764114727E-2</v>
      </c>
      <c r="G24" s="37">
        <v>4.217555162927461E-2</v>
      </c>
      <c r="H24" s="37">
        <v>5.6324739580858929E-2</v>
      </c>
      <c r="I24" s="37">
        <v>7.3001592592625203E-2</v>
      </c>
      <c r="J24" s="37">
        <v>9.2097378978614794E-2</v>
      </c>
      <c r="K24" s="37">
        <v>0.11280363072486668</v>
      </c>
      <c r="L24" s="37">
        <v>0.13335854207790074</v>
      </c>
      <c r="M24" s="37">
        <v>0.15136382228410566</v>
      </c>
      <c r="N24" s="37">
        <v>0.16518988078943025</v>
      </c>
      <c r="O24" s="37">
        <v>0.17452216033965259</v>
      </c>
      <c r="P24" s="37">
        <v>0.17977211053602651</v>
      </c>
      <c r="Q24" s="37">
        <v>0.18142981732462543</v>
      </c>
      <c r="R24" s="37">
        <v>0.17969740031711368</v>
      </c>
      <c r="S24" s="37">
        <v>0.17438051405875135</v>
      </c>
      <c r="T24" s="37">
        <v>0.1649962337166816</v>
      </c>
      <c r="U24" s="37">
        <v>0.15113854614785574</v>
      </c>
      <c r="V24" s="37">
        <v>0.13312394139372571</v>
      </c>
      <c r="W24" s="37">
        <v>0.1125788661732003</v>
      </c>
      <c r="X24" s="37">
        <v>9.1894645895780766E-2</v>
      </c>
      <c r="Y24" s="37">
        <v>7.2826654549162248E-2</v>
      </c>
      <c r="Z24" s="37">
        <v>5.6179055904396577E-2</v>
      </c>
      <c r="AA24" s="37">
        <v>4.2058158019579427E-2</v>
      </c>
      <c r="AB24" s="37">
        <v>3.0209567685154159E-2</v>
      </c>
      <c r="AC24" s="37">
        <v>2.0309960205500407E-2</v>
      </c>
      <c r="AD24" s="37">
        <v>1.2414031367004124E-2</v>
      </c>
      <c r="AE24" s="37">
        <v>9.630265131174669E-3</v>
      </c>
      <c r="AF24" s="36"/>
    </row>
    <row r="25" spans="1:35" x14ac:dyDescent="0.2">
      <c r="A25" s="45"/>
      <c r="B25" s="11">
        <f t="shared" si="0"/>
        <v>12.5</v>
      </c>
      <c r="C25" s="37">
        <v>6.2301730804978682E-3</v>
      </c>
      <c r="D25" s="37">
        <v>1.0029020571290308E-2</v>
      </c>
      <c r="E25" s="37">
        <v>1.9077100381337923E-2</v>
      </c>
      <c r="F25" s="37">
        <v>2.9525543903629572E-2</v>
      </c>
      <c r="G25" s="37">
        <v>4.1664167426378663E-2</v>
      </c>
      <c r="H25" s="37">
        <v>5.5887867729802802E-2</v>
      </c>
      <c r="I25" s="37">
        <v>7.2430602871340052E-2</v>
      </c>
      <c r="J25" s="37">
        <v>9.1140657248855811E-2</v>
      </c>
      <c r="K25" s="37">
        <v>0.11122505947292442</v>
      </c>
      <c r="L25" s="37">
        <v>0.13111572127501328</v>
      </c>
      <c r="M25" s="37">
        <v>0.14879039032379951</v>
      </c>
      <c r="N25" s="37">
        <v>0.16270425655580895</v>
      </c>
      <c r="O25" s="37">
        <v>0.17233321524415474</v>
      </c>
      <c r="P25" s="37">
        <v>0.17785566915315798</v>
      </c>
      <c r="Q25" s="37">
        <v>0.17962008656974701</v>
      </c>
      <c r="R25" s="37">
        <v>0.17778440995403402</v>
      </c>
      <c r="S25" s="37">
        <v>0.17219838573393073</v>
      </c>
      <c r="T25" s="37">
        <v>0.162520439774404</v>
      </c>
      <c r="U25" s="37">
        <v>0.14857706579233901</v>
      </c>
      <c r="V25" s="37">
        <v>0.13089368940330851</v>
      </c>
      <c r="W25" s="37">
        <v>0.11101199098892713</v>
      </c>
      <c r="X25" s="37">
        <v>9.0948318907184508E-2</v>
      </c>
      <c r="Y25" s="37">
        <v>7.2265097994989647E-2</v>
      </c>
      <c r="Z25" s="37">
        <v>5.5751313941083062E-2</v>
      </c>
      <c r="AA25" s="37">
        <v>4.1556410827738817E-2</v>
      </c>
      <c r="AB25" s="37">
        <v>2.9445356910429342E-2</v>
      </c>
      <c r="AC25" s="37">
        <v>1.9022728650254141E-2</v>
      </c>
      <c r="AD25" s="37">
        <v>9.9974449138005572E-3</v>
      </c>
      <c r="AE25" s="37">
        <v>6.2067173112902762E-3</v>
      </c>
      <c r="AF25" s="36"/>
    </row>
    <row r="26" spans="1:35" x14ac:dyDescent="0.2">
      <c r="A26" s="45"/>
      <c r="B26" s="11">
        <f t="shared" si="0"/>
        <v>11.25</v>
      </c>
      <c r="C26" s="36"/>
      <c r="D26" s="36"/>
      <c r="E26" s="36"/>
      <c r="F26" s="36"/>
      <c r="G26" s="36"/>
      <c r="H26" s="36"/>
      <c r="I26" s="36"/>
      <c r="J26" s="36"/>
      <c r="K26" s="36"/>
      <c r="L26" s="36"/>
      <c r="M26" s="36"/>
      <c r="N26" s="36"/>
      <c r="O26" s="36"/>
      <c r="P26" s="36"/>
      <c r="Q26" s="36"/>
      <c r="R26" s="36"/>
      <c r="S26" s="36"/>
      <c r="T26" s="36"/>
      <c r="U26" s="36"/>
      <c r="V26" s="36"/>
      <c r="W26" s="36"/>
      <c r="X26" s="36"/>
      <c r="Y26" s="36"/>
      <c r="Z26" s="36"/>
      <c r="AA26" s="36"/>
      <c r="AB26" s="36"/>
      <c r="AC26" s="36"/>
      <c r="AD26" s="36"/>
      <c r="AE26" s="36"/>
      <c r="AF26" s="36"/>
    </row>
    <row r="27" spans="1:35" x14ac:dyDescent="0.2">
      <c r="A27" s="45"/>
      <c r="B27" s="11">
        <f t="shared" si="0"/>
        <v>10</v>
      </c>
      <c r="C27" s="36"/>
      <c r="D27" s="36"/>
      <c r="E27" s="36"/>
      <c r="F27" s="36"/>
      <c r="G27" s="36"/>
      <c r="H27" s="36"/>
      <c r="I27" s="36"/>
      <c r="J27" s="36"/>
      <c r="K27" s="36"/>
      <c r="L27" s="36"/>
      <c r="M27" s="36"/>
      <c r="N27" s="36"/>
      <c r="O27" s="36"/>
      <c r="P27" s="36"/>
      <c r="Q27" s="36"/>
      <c r="R27" s="36"/>
      <c r="S27" s="36"/>
      <c r="T27" s="36"/>
      <c r="U27" s="36"/>
      <c r="V27" s="36"/>
      <c r="W27" s="36"/>
      <c r="X27" s="36"/>
      <c r="Y27" s="36"/>
      <c r="Z27" s="36"/>
      <c r="AA27" s="36"/>
      <c r="AB27" s="36"/>
      <c r="AC27" s="36"/>
      <c r="AD27" s="36"/>
      <c r="AE27" s="36"/>
      <c r="AF27" s="36"/>
    </row>
    <row r="28" spans="1:35" x14ac:dyDescent="0.2">
      <c r="A28" s="45"/>
      <c r="B28" s="11">
        <f t="shared" si="0"/>
        <v>8.75</v>
      </c>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row>
    <row r="29" spans="1:35" x14ac:dyDescent="0.2">
      <c r="A29" s="45"/>
      <c r="B29" s="11">
        <f t="shared" si="0"/>
        <v>7.5</v>
      </c>
      <c r="C29" s="28"/>
      <c r="D29" s="28"/>
      <c r="E29" s="28"/>
      <c r="F29" s="36"/>
      <c r="G29" s="36"/>
      <c r="H29" s="36"/>
      <c r="I29" s="36"/>
      <c r="J29" s="36"/>
      <c r="K29" s="36"/>
      <c r="L29" s="36"/>
      <c r="M29" s="36"/>
      <c r="N29" s="36"/>
      <c r="O29" s="36"/>
      <c r="P29" s="36"/>
      <c r="Q29" s="36"/>
      <c r="R29" s="36"/>
      <c r="S29" s="36"/>
      <c r="T29" s="36"/>
      <c r="U29" s="36"/>
      <c r="V29" s="36"/>
      <c r="W29" s="36"/>
      <c r="X29" s="36"/>
      <c r="Y29" s="36"/>
      <c r="Z29" s="36"/>
      <c r="AA29" s="36"/>
      <c r="AB29" s="36"/>
      <c r="AC29" s="36"/>
      <c r="AD29" s="28"/>
      <c r="AE29" s="28"/>
      <c r="AF29" s="28"/>
    </row>
    <row r="30" spans="1:35" x14ac:dyDescent="0.2">
      <c r="A30" s="45"/>
      <c r="B30" s="11">
        <f t="shared" si="0"/>
        <v>6.25</v>
      </c>
      <c r="C30" s="28"/>
      <c r="D30" s="28"/>
      <c r="E30" s="28"/>
      <c r="F30" s="36"/>
      <c r="G30" s="36"/>
      <c r="H30" s="36"/>
      <c r="I30" s="36"/>
      <c r="J30" s="36"/>
      <c r="K30" s="36"/>
      <c r="L30" s="36"/>
      <c r="M30" s="36"/>
      <c r="N30" s="36"/>
      <c r="O30" s="36"/>
      <c r="P30" s="36"/>
      <c r="Q30" s="36"/>
      <c r="R30" s="36"/>
      <c r="S30" s="36"/>
      <c r="T30" s="36"/>
      <c r="U30" s="36"/>
      <c r="V30" s="36"/>
      <c r="W30" s="36"/>
      <c r="X30" s="36"/>
      <c r="Y30" s="36"/>
      <c r="Z30" s="36"/>
      <c r="AA30" s="36"/>
      <c r="AB30" s="36"/>
      <c r="AC30" s="36"/>
      <c r="AD30" s="28"/>
      <c r="AE30" s="28"/>
      <c r="AF30" s="28"/>
    </row>
    <row r="31" spans="1:35" x14ac:dyDescent="0.2">
      <c r="A31" s="45"/>
      <c r="B31" s="11">
        <f t="shared" si="0"/>
        <v>5</v>
      </c>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row>
    <row r="32" spans="1:35" x14ac:dyDescent="0.2">
      <c r="A32" s="45"/>
      <c r="B32" s="11">
        <f t="shared" si="0"/>
        <v>3.75</v>
      </c>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row>
    <row r="33" spans="1:32" x14ac:dyDescent="0.2">
      <c r="A33" s="45"/>
      <c r="B33" s="11">
        <f t="shared" si="0"/>
        <v>2.5</v>
      </c>
      <c r="C33" s="28"/>
      <c r="D33" s="28"/>
      <c r="E33" s="28"/>
      <c r="F33" s="28"/>
      <c r="G33" s="28"/>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row>
    <row r="34" spans="1:32" x14ac:dyDescent="0.2">
      <c r="A34" s="45"/>
      <c r="B34" s="11">
        <f t="shared" si="0"/>
        <v>1.25</v>
      </c>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row>
    <row r="35" spans="1:32" x14ac:dyDescent="0.2">
      <c r="A35" s="46"/>
      <c r="B35" s="12">
        <v>0</v>
      </c>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row>
    <row r="36" spans="1:32" x14ac:dyDescent="0.2">
      <c r="C36" s="6">
        <v>0</v>
      </c>
      <c r="D36" s="5">
        <f t="shared" ref="D36:AF36" si="1">C36+cellsize</f>
        <v>1.25</v>
      </c>
      <c r="E36" s="5">
        <f t="shared" si="1"/>
        <v>2.5</v>
      </c>
      <c r="F36" s="5">
        <f t="shared" si="1"/>
        <v>3.75</v>
      </c>
      <c r="G36" s="5">
        <f t="shared" si="1"/>
        <v>5</v>
      </c>
      <c r="H36" s="5">
        <f t="shared" si="1"/>
        <v>6.25</v>
      </c>
      <c r="I36" s="5">
        <f t="shared" si="1"/>
        <v>7.5</v>
      </c>
      <c r="J36" s="5">
        <f t="shared" si="1"/>
        <v>8.75</v>
      </c>
      <c r="K36" s="5">
        <f t="shared" si="1"/>
        <v>10</v>
      </c>
      <c r="L36" s="5">
        <f t="shared" si="1"/>
        <v>11.25</v>
      </c>
      <c r="M36" s="5">
        <f t="shared" si="1"/>
        <v>12.5</v>
      </c>
      <c r="N36" s="5">
        <f t="shared" si="1"/>
        <v>13.75</v>
      </c>
      <c r="O36" s="5">
        <f t="shared" si="1"/>
        <v>15</v>
      </c>
      <c r="P36" s="5">
        <f t="shared" si="1"/>
        <v>16.25</v>
      </c>
      <c r="Q36" s="5">
        <f t="shared" si="1"/>
        <v>17.5</v>
      </c>
      <c r="R36" s="5">
        <f t="shared" si="1"/>
        <v>18.75</v>
      </c>
      <c r="S36" s="5">
        <f t="shared" si="1"/>
        <v>20</v>
      </c>
      <c r="T36" s="5">
        <f t="shared" si="1"/>
        <v>21.25</v>
      </c>
      <c r="U36" s="5">
        <f t="shared" si="1"/>
        <v>22.5</v>
      </c>
      <c r="V36" s="5">
        <f t="shared" si="1"/>
        <v>23.75</v>
      </c>
      <c r="W36" s="5">
        <f t="shared" si="1"/>
        <v>25</v>
      </c>
      <c r="X36" s="5">
        <f t="shared" si="1"/>
        <v>26.25</v>
      </c>
      <c r="Y36" s="5">
        <f t="shared" si="1"/>
        <v>27.5</v>
      </c>
      <c r="Z36" s="5">
        <f t="shared" si="1"/>
        <v>28.75</v>
      </c>
      <c r="AA36" s="5">
        <f t="shared" si="1"/>
        <v>30</v>
      </c>
      <c r="AB36" s="5">
        <f t="shared" si="1"/>
        <v>31.25</v>
      </c>
      <c r="AC36" s="5">
        <f t="shared" si="1"/>
        <v>32.5</v>
      </c>
      <c r="AD36" s="5">
        <f t="shared" si="1"/>
        <v>33.75</v>
      </c>
      <c r="AE36" s="5">
        <f t="shared" si="1"/>
        <v>35</v>
      </c>
      <c r="AF36" s="13">
        <f t="shared" si="1"/>
        <v>36.25</v>
      </c>
    </row>
    <row r="37" spans="1:32" ht="21" x14ac:dyDescent="0.35">
      <c r="C37" s="47" t="s">
        <v>13</v>
      </c>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9"/>
    </row>
  </sheetData>
  <mergeCells count="2">
    <mergeCell ref="A10:A35"/>
    <mergeCell ref="C37:AF37"/>
  </mergeCells>
  <conditionalFormatting sqref="C10:AF35">
    <cfRule type="cellIs" dxfId="0" priority="1" operator="greaterThan">
      <formula>criticalgradient</formula>
    </cfRule>
  </conditionalFormatting>
  <pageMargins left="0.7" right="0.7" top="0.75" bottom="0.75" header="0.3" footer="0.3"/>
  <pageSetup orientation="portrait" horizontalDpi="0" verticalDpi="0" r:id="rId1"/>
  <drawing r:id="rId2"/>
  <legacyDrawing r:id="rId3"/>
  <oleObjects>
    <mc:AlternateContent xmlns:mc="http://schemas.openxmlformats.org/markup-compatibility/2006">
      <mc:Choice Requires="x14">
        <oleObject progId="Equation.3" shapeId="2053" r:id="rId4">
          <objectPr defaultSize="0" autoPict="0" r:id="rId5">
            <anchor moveWithCells="1" sizeWithCells="1">
              <from>
                <xdr:col>31</xdr:col>
                <xdr:colOff>238125</xdr:colOff>
                <xdr:row>2</xdr:row>
                <xdr:rowOff>19050</xdr:rowOff>
              </from>
              <to>
                <xdr:col>34</xdr:col>
                <xdr:colOff>38100</xdr:colOff>
                <xdr:row>5</xdr:row>
                <xdr:rowOff>66675</xdr:rowOff>
              </to>
            </anchor>
          </objectPr>
        </oleObject>
      </mc:Choice>
      <mc:Fallback>
        <oleObject progId="Equation.3" shapeId="2053" r:id="rId4"/>
      </mc:Fallback>
    </mc:AlternateContent>
  </oleObjects>
  <controls>
    <mc:AlternateContent xmlns:mc="http://schemas.openxmlformats.org/markup-compatibility/2006">
      <mc:Choice Requires="x14">
        <control shapeId="2049" r:id="rId6" name="cmdCalculateGradients">
          <controlPr defaultSize="0" autoLine="0" autoPict="0" r:id="rId7">
            <anchor moveWithCells="1">
              <from>
                <xdr:col>1</xdr:col>
                <xdr:colOff>142875</xdr:colOff>
                <xdr:row>2</xdr:row>
                <xdr:rowOff>9525</xdr:rowOff>
              </from>
              <to>
                <xdr:col>5</xdr:col>
                <xdr:colOff>285750</xdr:colOff>
                <xdr:row>4</xdr:row>
                <xdr:rowOff>38100</xdr:rowOff>
              </to>
            </anchor>
          </controlPr>
        </control>
      </mc:Choice>
      <mc:Fallback>
        <control shapeId="2049" r:id="rId6" name="cmdCalculateGradients"/>
      </mc:Fallback>
    </mc:AlternateContent>
    <mc:AlternateContent xmlns:mc="http://schemas.openxmlformats.org/markup-compatibility/2006">
      <mc:Choice Requires="x14">
        <control shapeId="2055" r:id="rId8" name="optRemove">
          <controlPr defaultSize="0" autoLine="0" r:id="rId9">
            <anchor moveWithCells="1">
              <from>
                <xdr:col>8</xdr:col>
                <xdr:colOff>28575</xdr:colOff>
                <xdr:row>3</xdr:row>
                <xdr:rowOff>19050</xdr:rowOff>
              </from>
              <to>
                <xdr:col>14</xdr:col>
                <xdr:colOff>219075</xdr:colOff>
                <xdr:row>4</xdr:row>
                <xdr:rowOff>104775</xdr:rowOff>
              </to>
            </anchor>
          </controlPr>
        </control>
      </mc:Choice>
      <mc:Fallback>
        <control shapeId="2055" r:id="rId8" name="optRemove"/>
      </mc:Fallback>
    </mc:AlternateContent>
    <mc:AlternateContent xmlns:mc="http://schemas.openxmlformats.org/markup-compatibility/2006">
      <mc:Choice Requires="x14">
        <control shapeId="2056" r:id="rId10" name="optHighlight">
          <controlPr defaultSize="0" autoLine="0" r:id="rId11">
            <anchor moveWithCells="1">
              <from>
                <xdr:col>8</xdr:col>
                <xdr:colOff>19050</xdr:colOff>
                <xdr:row>4</xdr:row>
                <xdr:rowOff>104775</xdr:rowOff>
              </from>
              <to>
                <xdr:col>16</xdr:col>
                <xdr:colOff>76200</xdr:colOff>
                <xdr:row>6</xdr:row>
                <xdr:rowOff>28575</xdr:rowOff>
              </to>
            </anchor>
          </controlPr>
        </control>
      </mc:Choice>
      <mc:Fallback>
        <control shapeId="2056" r:id="rId10" name="optHighlight"/>
      </mc:Fallback>
    </mc:AlternateContent>
    <mc:AlternateContent xmlns:mc="http://schemas.openxmlformats.org/markup-compatibility/2006">
      <mc:Choice Requires="x14">
        <control shapeId="2057" r:id="rId12" name="optColorShade">
          <controlPr defaultSize="0" autoLine="0" r:id="rId13">
            <anchor moveWithCells="1">
              <from>
                <xdr:col>8</xdr:col>
                <xdr:colOff>19050</xdr:colOff>
                <xdr:row>6</xdr:row>
                <xdr:rowOff>19050</xdr:rowOff>
              </from>
              <to>
                <xdr:col>15</xdr:col>
                <xdr:colOff>180975</xdr:colOff>
                <xdr:row>7</xdr:row>
                <xdr:rowOff>104775</xdr:rowOff>
              </to>
            </anchor>
          </controlPr>
        </control>
      </mc:Choice>
      <mc:Fallback>
        <control shapeId="2057" r:id="rId12" name="optColorSha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N34"/>
  <sheetViews>
    <sheetView showGridLines="0" workbookViewId="0">
      <selection activeCell="C26" sqref="C26"/>
    </sheetView>
  </sheetViews>
  <sheetFormatPr defaultRowHeight="12.75" x14ac:dyDescent="0.2"/>
  <cols>
    <col min="3" max="3" width="9.28515625" customWidth="1"/>
  </cols>
  <sheetData>
    <row r="1" spans="1:40" ht="23.25" x14ac:dyDescent="0.35">
      <c r="A1" s="1" t="s">
        <v>15</v>
      </c>
    </row>
    <row r="2" spans="1:40" s="2" customFormat="1" x14ac:dyDescent="0.2"/>
    <row r="3" spans="1:40" s="2" customFormat="1" x14ac:dyDescent="0.2">
      <c r="C3" s="4" t="s">
        <v>10</v>
      </c>
      <c r="D3" s="5">
        <f>0.004/100*24*3600</f>
        <v>3.4560000000000004</v>
      </c>
      <c r="E3" s="2" t="str">
        <f>"[" &amp; lunit &amp; "/" &amp; tunit &amp; "]"</f>
        <v>[m/day]</v>
      </c>
    </row>
    <row r="4" spans="1:40" s="2" customFormat="1" x14ac:dyDescent="0.2">
      <c r="C4" s="4" t="s">
        <v>16</v>
      </c>
      <c r="D4" s="5">
        <v>300</v>
      </c>
      <c r="E4" s="2" t="str">
        <f>"[" &amp; lunit &amp; "]"</f>
        <v>[m]</v>
      </c>
    </row>
    <row r="5" spans="1:40" s="2" customFormat="1" x14ac:dyDescent="0.2">
      <c r="C5" s="4" t="s">
        <v>17</v>
      </c>
      <c r="D5" s="5">
        <v>1</v>
      </c>
      <c r="E5" s="2" t="s">
        <v>18</v>
      </c>
    </row>
    <row r="6" spans="1:40" s="2" customFormat="1" x14ac:dyDescent="0.2"/>
    <row r="7" spans="1:40" s="2" customFormat="1" x14ac:dyDescent="0.2"/>
    <row r="8" spans="1:40" s="2" customFormat="1" x14ac:dyDescent="0.2">
      <c r="B8" s="4" t="s">
        <v>21</v>
      </c>
      <c r="C8" s="5">
        <v>0</v>
      </c>
      <c r="D8" s="5">
        <v>1.25</v>
      </c>
      <c r="E8" s="5">
        <v>2.5</v>
      </c>
      <c r="F8" s="5">
        <v>3.75</v>
      </c>
      <c r="G8" s="5">
        <v>5</v>
      </c>
      <c r="H8" s="5">
        <v>6.25</v>
      </c>
      <c r="I8" s="5">
        <v>7.5</v>
      </c>
      <c r="J8" s="5">
        <v>8.75</v>
      </c>
      <c r="K8" s="5">
        <v>10</v>
      </c>
      <c r="L8" s="5">
        <v>11.25</v>
      </c>
      <c r="M8" s="5"/>
      <c r="N8" s="5"/>
      <c r="O8" s="5"/>
      <c r="P8" s="5"/>
      <c r="Q8" s="5"/>
      <c r="R8" s="5"/>
      <c r="S8" s="5"/>
      <c r="T8" s="5"/>
      <c r="U8" s="5"/>
      <c r="V8" s="5"/>
    </row>
    <row r="9" spans="1:40" s="2" customFormat="1" x14ac:dyDescent="0.2">
      <c r="B9" s="4" t="s">
        <v>22</v>
      </c>
      <c r="C9" s="5">
        <f>cellsize/2</f>
        <v>0.625</v>
      </c>
      <c r="D9" s="5">
        <f t="shared" ref="D9:K9" si="0">cellsize</f>
        <v>1.25</v>
      </c>
      <c r="E9" s="5">
        <f t="shared" si="0"/>
        <v>1.25</v>
      </c>
      <c r="F9" s="5">
        <f t="shared" si="0"/>
        <v>1.25</v>
      </c>
      <c r="G9" s="5">
        <f t="shared" si="0"/>
        <v>1.25</v>
      </c>
      <c r="H9" s="5">
        <f t="shared" si="0"/>
        <v>1.25</v>
      </c>
      <c r="I9" s="5">
        <f t="shared" si="0"/>
        <v>1.25</v>
      </c>
      <c r="J9" s="5">
        <f t="shared" si="0"/>
        <v>1.25</v>
      </c>
      <c r="K9" s="5">
        <f t="shared" si="0"/>
        <v>1.25</v>
      </c>
      <c r="L9" s="5">
        <f>cellsize/2</f>
        <v>0.625</v>
      </c>
      <c r="M9" s="5"/>
      <c r="N9" s="5"/>
      <c r="O9" s="5"/>
      <c r="P9" s="5"/>
      <c r="Q9" s="5"/>
      <c r="R9" s="5"/>
      <c r="S9" s="5"/>
      <c r="T9" s="5"/>
      <c r="U9" s="5"/>
      <c r="V9" s="5"/>
    </row>
    <row r="10" spans="1:40" s="2" customFormat="1" x14ac:dyDescent="0.2">
      <c r="B10" s="4" t="s">
        <v>19</v>
      </c>
      <c r="C10" s="17">
        <f ca="1">(Main!$C$19 - Main!$C$20)/cellsize</f>
        <v>3.4032893167960765E-2</v>
      </c>
      <c r="D10" s="17">
        <f ca="1">(Main!$D$19 - Main!$D$20)/cellsize</f>
        <v>3.5233244524680171E-2</v>
      </c>
      <c r="E10" s="17">
        <f ca="1">(Main!$E$19 - Main!$E$20)/cellsize</f>
        <v>3.8941343147449459E-2</v>
      </c>
      <c r="F10" s="17">
        <f ca="1">(Main!$F$19 - Main!$F$20)/cellsize</f>
        <v>4.5502320114479744E-2</v>
      </c>
      <c r="G10" s="17">
        <f ca="1">(Main!$G$19 - Main!$G$20)/cellsize</f>
        <v>5.5586902524494518E-2</v>
      </c>
      <c r="H10" s="17">
        <f ca="1">(Main!$H$19 - Main!$H$20)/cellsize</f>
        <v>7.0402525313521383E-2</v>
      </c>
      <c r="I10" s="17">
        <f ca="1">(Main!$I$19 - Main!$I$20)/cellsize</f>
        <v>9.2201402763576829E-2</v>
      </c>
      <c r="J10" s="17">
        <f ca="1">(Main!$J$19 - Main!$J$20)/cellsize</f>
        <v>0.12559956524660265</v>
      </c>
      <c r="K10" s="17">
        <f ca="1">(Main!$K$19 - Main!$K$20)/cellsize</f>
        <v>0.18136202113084607</v>
      </c>
      <c r="L10" s="17">
        <f ca="1">(Main!$L$19 - Main!$L$20)/cellsize</f>
        <v>0.2884646242857315</v>
      </c>
      <c r="M10" s="17"/>
      <c r="N10" s="17"/>
      <c r="O10" s="17"/>
      <c r="P10" s="17"/>
      <c r="Q10" s="17"/>
      <c r="R10" s="17"/>
      <c r="S10" s="17"/>
      <c r="T10" s="17"/>
      <c r="U10" s="17"/>
      <c r="V10" s="17"/>
      <c r="W10" s="14"/>
      <c r="X10" s="14"/>
      <c r="Y10" s="14"/>
      <c r="Z10" s="14"/>
      <c r="AA10" s="14"/>
      <c r="AB10" s="14"/>
      <c r="AC10" s="14"/>
      <c r="AD10" s="14"/>
      <c r="AE10" s="14"/>
      <c r="AF10" s="14"/>
      <c r="AG10" s="14"/>
      <c r="AH10" s="14"/>
      <c r="AI10" s="14"/>
      <c r="AJ10" s="14"/>
      <c r="AK10" s="14"/>
      <c r="AL10" s="14"/>
      <c r="AM10" s="14"/>
      <c r="AN10" s="14"/>
    </row>
    <row r="11" spans="1:40" s="2" customFormat="1" x14ac:dyDescent="0.2">
      <c r="B11" s="4" t="s">
        <v>23</v>
      </c>
      <c r="C11" s="17">
        <f t="shared" ref="C11:L11" ca="1" si="1">k*C10</f>
        <v>0.11761767878847242</v>
      </c>
      <c r="D11" s="17">
        <f t="shared" ca="1" si="1"/>
        <v>0.12176609307729469</v>
      </c>
      <c r="E11" s="17">
        <f t="shared" ca="1" si="1"/>
        <v>0.13458128191758534</v>
      </c>
      <c r="F11" s="17">
        <f t="shared" ca="1" si="1"/>
        <v>0.15725601831564201</v>
      </c>
      <c r="G11" s="17">
        <f t="shared" ca="1" si="1"/>
        <v>0.19210833512465308</v>
      </c>
      <c r="H11" s="17">
        <f t="shared" ca="1" si="1"/>
        <v>0.24331112748352993</v>
      </c>
      <c r="I11" s="17">
        <f t="shared" ca="1" si="1"/>
        <v>0.31864804795092155</v>
      </c>
      <c r="J11" s="17">
        <f t="shared" ca="1" si="1"/>
        <v>0.43407209749225883</v>
      </c>
      <c r="K11" s="17">
        <f t="shared" ca="1" si="1"/>
        <v>0.6267871450282041</v>
      </c>
      <c r="L11" s="17">
        <f t="shared" ca="1" si="1"/>
        <v>0.99693374153148817</v>
      </c>
      <c r="M11" s="17"/>
      <c r="N11" s="17"/>
      <c r="O11" s="17"/>
      <c r="P11" s="17"/>
      <c r="Q11" s="17"/>
      <c r="R11" s="17"/>
      <c r="S11" s="17"/>
      <c r="T11" s="17"/>
      <c r="U11" s="17"/>
      <c r="V11" s="17"/>
      <c r="W11" s="14"/>
      <c r="X11" s="14"/>
      <c r="Y11" s="14"/>
      <c r="Z11" s="14"/>
      <c r="AA11" s="14"/>
      <c r="AB11" s="14"/>
      <c r="AC11" s="14"/>
      <c r="AD11" s="14"/>
      <c r="AE11" s="14"/>
      <c r="AF11" s="14"/>
      <c r="AG11" s="14"/>
      <c r="AH11" s="14"/>
      <c r="AI11" s="14"/>
      <c r="AJ11" s="14"/>
      <c r="AK11" s="14"/>
      <c r="AL11" s="14"/>
      <c r="AM11" s="14"/>
      <c r="AN11" s="14"/>
    </row>
    <row r="12" spans="1:40" s="2" customFormat="1" x14ac:dyDescent="0.2">
      <c r="B12" s="4" t="s">
        <v>20</v>
      </c>
      <c r="C12" s="17">
        <f t="shared" ref="C12:L12" ca="1" si="2">C9*C11</f>
        <v>7.3511049242795265E-2</v>
      </c>
      <c r="D12" s="17">
        <f t="shared" ca="1" si="2"/>
        <v>0.15220761634661836</v>
      </c>
      <c r="E12" s="17">
        <f t="shared" ca="1" si="2"/>
        <v>0.16822660239698167</v>
      </c>
      <c r="F12" s="17">
        <f t="shared" ca="1" si="2"/>
        <v>0.1965700228945525</v>
      </c>
      <c r="G12" s="17">
        <f t="shared" ca="1" si="2"/>
        <v>0.24013541890581636</v>
      </c>
      <c r="H12" s="17">
        <f t="shared" ca="1" si="2"/>
        <v>0.3041389093544124</v>
      </c>
      <c r="I12" s="17">
        <f t="shared" ca="1" si="2"/>
        <v>0.39831005993865193</v>
      </c>
      <c r="J12" s="17">
        <f t="shared" ca="1" si="2"/>
        <v>0.54259012186532352</v>
      </c>
      <c r="K12" s="17">
        <f t="shared" ca="1" si="2"/>
        <v>0.78348393128525506</v>
      </c>
      <c r="L12" s="17">
        <f t="shared" ca="1" si="2"/>
        <v>0.62308358845718015</v>
      </c>
      <c r="M12" s="17"/>
      <c r="N12" s="17"/>
      <c r="O12" s="17"/>
      <c r="P12" s="17"/>
      <c r="Q12" s="17"/>
      <c r="R12" s="17"/>
      <c r="S12" s="17"/>
      <c r="T12" s="17"/>
      <c r="U12" s="17"/>
      <c r="V12" s="17"/>
      <c r="W12" s="14"/>
      <c r="X12" s="14"/>
      <c r="Y12" s="14"/>
      <c r="Z12" s="14"/>
      <c r="AA12" s="14"/>
      <c r="AB12" s="14"/>
      <c r="AC12" s="14"/>
      <c r="AD12" s="14"/>
      <c r="AE12" s="14"/>
      <c r="AF12" s="14"/>
      <c r="AG12" s="14"/>
      <c r="AH12" s="14"/>
      <c r="AI12" s="14"/>
      <c r="AJ12" s="14"/>
      <c r="AK12" s="14"/>
      <c r="AL12" s="14"/>
      <c r="AM12" s="14"/>
      <c r="AN12" s="14"/>
    </row>
    <row r="13" spans="1:40" s="2" customFormat="1" x14ac:dyDescent="0.2">
      <c r="B13" s="4"/>
    </row>
    <row r="14" spans="1:40" s="2" customFormat="1" x14ac:dyDescent="0.2">
      <c r="B14" s="4" t="s">
        <v>24</v>
      </c>
      <c r="C14" s="18">
        <f ca="1">SUM(C12:L12)</f>
        <v>3.4822573206875873</v>
      </c>
      <c r="D14" s="2" t="str">
        <f>"["&amp;lunit&amp;"^3/"&amp;tunit&amp;"/"&amp;lunit&amp;"]"</f>
        <v>[m^3/day/m]</v>
      </c>
    </row>
    <row r="15" spans="1:40" s="2" customFormat="1" x14ac:dyDescent="0.2">
      <c r="B15" s="4" t="s">
        <v>0</v>
      </c>
      <c r="C15" s="19">
        <f ca="1">unitq*length</f>
        <v>1044.6771962062762</v>
      </c>
      <c r="D15" s="2" t="str">
        <f>"["&amp;lunit&amp;"^3/"&amp;tunit&amp;"]"</f>
        <v>[m^3/day]</v>
      </c>
    </row>
    <row r="16" spans="1:40" s="2" customFormat="1" x14ac:dyDescent="0.2"/>
    <row r="17" s="2" customFormat="1" x14ac:dyDescent="0.2"/>
    <row r="18" s="2" customFormat="1" x14ac:dyDescent="0.2"/>
    <row r="19" s="2" customFormat="1" x14ac:dyDescent="0.2"/>
    <row r="20" s="2" customFormat="1" x14ac:dyDescent="0.2"/>
    <row r="21" s="2" customFormat="1" x14ac:dyDescent="0.2"/>
    <row r="22" s="2" customFormat="1" x14ac:dyDescent="0.2"/>
    <row r="23" s="2" customFormat="1" x14ac:dyDescent="0.2"/>
    <row r="24" s="2" customFormat="1" x14ac:dyDescent="0.2"/>
    <row r="25" s="2" customFormat="1" x14ac:dyDescent="0.2"/>
    <row r="26" s="2" customFormat="1" x14ac:dyDescent="0.2"/>
    <row r="27" s="2" customFormat="1" x14ac:dyDescent="0.2"/>
    <row r="28" s="2" customFormat="1" x14ac:dyDescent="0.2"/>
    <row r="29" s="2" customFormat="1" x14ac:dyDescent="0.2"/>
    <row r="30" s="2" customFormat="1" x14ac:dyDescent="0.2"/>
    <row r="31" s="2" customFormat="1" x14ac:dyDescent="0.2"/>
    <row r="32" s="2" customFormat="1" x14ac:dyDescent="0.2"/>
    <row r="33" s="2" customFormat="1" x14ac:dyDescent="0.2"/>
    <row r="34" s="2" customFormat="1" x14ac:dyDescent="0.2"/>
  </sheetData>
  <phoneticPr fontId="1" type="noConversion"/>
  <pageMargins left="0.75" right="0.75" top="1" bottom="1" header="0.5" footer="0.5"/>
  <pageSetup orientation="portrait" horizontalDpi="0" verticalDpi="0" r:id="rId1"/>
  <headerFooter alignWithMargins="0"/>
  <drawing r:id="rId2"/>
  <legacyDrawing r:id="rId3"/>
  <controls>
    <mc:AlternateContent xmlns:mc="http://schemas.openxmlformats.org/markup-compatibility/2006">
      <mc:Choice Requires="x14">
        <control shapeId="3073" r:id="rId4" name="cmdCalculateFlowRate">
          <controlPr defaultSize="0" autoLine="0" r:id="rId5">
            <anchor moveWithCells="1">
              <from>
                <xdr:col>6</xdr:col>
                <xdr:colOff>19050</xdr:colOff>
                <xdr:row>2</xdr:row>
                <xdr:rowOff>76200</xdr:rowOff>
              </from>
              <to>
                <xdr:col>8</xdr:col>
                <xdr:colOff>28575</xdr:colOff>
                <xdr:row>4</xdr:row>
                <xdr:rowOff>38100</xdr:rowOff>
              </to>
            </anchor>
          </controlPr>
        </control>
      </mc:Choice>
      <mc:Fallback>
        <control shapeId="3073" r:id="rId4" name="cmdCalculateFlow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vt:i4>
      </vt:variant>
    </vt:vector>
  </HeadingPairs>
  <TitlesOfParts>
    <vt:vector size="21" baseType="lpstr">
      <vt:lpstr>Main</vt:lpstr>
      <vt:lpstr>Gradient</vt:lpstr>
      <vt:lpstr>Flow Rate</vt:lpstr>
      <vt:lpstr>activecolor</vt:lpstr>
      <vt:lpstr>arrowcolor</vt:lpstr>
      <vt:lpstr>arrowsize</vt:lpstr>
      <vt:lpstr>backgroundcolor</vt:lpstr>
      <vt:lpstr>cellsize</vt:lpstr>
      <vt:lpstr>criticalgradient</vt:lpstr>
      <vt:lpstr>flowboundaryselection</vt:lpstr>
      <vt:lpstr>H_1</vt:lpstr>
      <vt:lpstr>H_2</vt:lpstr>
      <vt:lpstr>h1color</vt:lpstr>
      <vt:lpstr>h2color</vt:lpstr>
      <vt:lpstr>k</vt:lpstr>
      <vt:lpstr>length</vt:lpstr>
      <vt:lpstr>lunit</vt:lpstr>
      <vt:lpstr>problemdomain</vt:lpstr>
      <vt:lpstr>totalq</vt:lpstr>
      <vt:lpstr>tunit</vt:lpstr>
      <vt:lpstr>unitq</vt:lpstr>
    </vt:vector>
  </TitlesOfParts>
  <Company>Brigham Young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Norm Jones</dc:creator>
  <cp:lastModifiedBy>Norm Jones</cp:lastModifiedBy>
  <dcterms:created xsi:type="dcterms:W3CDTF">2003-03-27T04:15:50Z</dcterms:created>
  <dcterms:modified xsi:type="dcterms:W3CDTF">2024-11-26T19:00:51Z</dcterms:modified>
</cp:coreProperties>
</file>