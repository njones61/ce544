
<file path=[Content_Types].xml><?xml version="1.0" encoding="utf-8"?>
<Types xmlns="http://schemas.openxmlformats.org/package/2006/content-types">
  <Default Extension="bin" ContentType="application/vnd.openxmlformats-officedocument.spreadsheetml.printerSettings"/>
  <Default Extension="emf" ContentType="image/x-emf"/>
  <Default Extension="wmf" ContentType="image/x-w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drawings/drawing2.xml" ContentType="application/vnd.openxmlformats-officedocument.drawing+xml"/>
  <Override PartName="/xl/embeddings/oleObject1.bin" ContentType="application/vnd.openxmlformats-officedocument.oleObject"/>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drawings/drawing3.xml" ContentType="application/vnd.openxmlformats-officedocument.drawing+xml"/>
  <Override PartName="/xl/activeX/activeX9.xml" ContentType="application/vnd.ms-office.activeX+xml"/>
  <Override PartName="/xl/activeX/activeX9.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4" rupBuild="9302" codeName="{8C4F1C90-05EB-6A55-5F09-09C24B55AC0B}"/>
  <workbookPr codeName="ThisWorkbook" defaultThemeVersion="124226"/>
  <bookViews>
    <workbookView xWindow="480" yWindow="195" windowWidth="14820" windowHeight="8820"/>
  </bookViews>
  <sheets>
    <sheet name="Main" sheetId="1" r:id="rId1"/>
    <sheet name="Gradient" sheetId="4" r:id="rId2"/>
    <sheet name="Flow Rate" sheetId="2" r:id="rId3"/>
  </sheets>
  <functionGroups builtInGroupCount="17"/>
  <definedNames>
    <definedName name="activecolor">Main!$D$6</definedName>
    <definedName name="arrowcolor">Main!$R$6</definedName>
    <definedName name="arrowsize">Main!$R$5</definedName>
    <definedName name="backgroundcolor">Main!$D$7</definedName>
    <definedName name="cellsize">Main!$H$6</definedName>
    <definedName name="criticalgradient">Gradient!$L$2</definedName>
    <definedName name="flowboundaryselection">'Flow Rate'!$D$5</definedName>
    <definedName name="H_1">Main!$H$4</definedName>
    <definedName name="H_2">Main!$H$5</definedName>
    <definedName name="h1color">Main!$D$4</definedName>
    <definedName name="h2color">Main!$D$5</definedName>
    <definedName name="k">'Flow Rate'!$D$3</definedName>
    <definedName name="length">'Flow Rate'!$D$4</definedName>
    <definedName name="lunit">Main!$M$4</definedName>
    <definedName name="problemdomain">Main!$C$10:$AF$35</definedName>
    <definedName name="totalq">'Flow Rate'!$C$15</definedName>
    <definedName name="tunit">Main!$M$5</definedName>
    <definedName name="unitq">'Flow Rate'!$C$14</definedName>
  </definedNames>
  <calcPr calcId="145621" calcMode="manual" iterate="1" iterateCount="200"/>
</workbook>
</file>

<file path=xl/calcChain.xml><?xml version="1.0" encoding="utf-8"?>
<calcChain xmlns="http://schemas.openxmlformats.org/spreadsheetml/2006/main">
  <c r="J9" i="2" l="1"/>
  <c r="I9" i="2"/>
  <c r="H9" i="2"/>
  <c r="G9" i="2"/>
  <c r="F9" i="2"/>
  <c r="E9" i="2"/>
  <c r="D9" i="2"/>
  <c r="C9" i="2"/>
  <c r="AB18" i="1"/>
  <c r="AA18" i="1"/>
  <c r="Z18" i="1"/>
  <c r="Y18" i="1"/>
  <c r="X18" i="1"/>
  <c r="W18" i="1"/>
  <c r="V18" i="1"/>
  <c r="U18" i="1"/>
  <c r="N18" i="1"/>
  <c r="M18" i="1"/>
  <c r="L18" i="1"/>
  <c r="K18" i="1"/>
  <c r="J18" i="1"/>
  <c r="I18" i="1"/>
  <c r="H18" i="1"/>
  <c r="G18" i="1"/>
  <c r="E6" i="4" l="1"/>
  <c r="F6" i="4"/>
  <c r="D15" i="2"/>
  <c r="D14" i="2"/>
  <c r="E4" i="2"/>
  <c r="E3" i="2"/>
  <c r="M2" i="4"/>
  <c r="D36" i="4"/>
  <c r="E36" i="4" s="1"/>
  <c r="F36" i="4" s="1"/>
  <c r="G36" i="4" s="1"/>
  <c r="H36" i="4" s="1"/>
  <c r="I36" i="4" s="1"/>
  <c r="J36" i="4" s="1"/>
  <c r="K36" i="4" s="1"/>
  <c r="L36" i="4" s="1"/>
  <c r="M36" i="4" s="1"/>
  <c r="N36" i="4" s="1"/>
  <c r="O36" i="4" s="1"/>
  <c r="P36" i="4" s="1"/>
  <c r="Q36" i="4" s="1"/>
  <c r="R36" i="4" s="1"/>
  <c r="S36" i="4" s="1"/>
  <c r="T36" i="4" s="1"/>
  <c r="U36" i="4" s="1"/>
  <c r="V36" i="4" s="1"/>
  <c r="W36" i="4" s="1"/>
  <c r="X36" i="4" s="1"/>
  <c r="Y36" i="4" s="1"/>
  <c r="Z36" i="4" s="1"/>
  <c r="AA36" i="4" s="1"/>
  <c r="AB36" i="4" s="1"/>
  <c r="AC36" i="4" s="1"/>
  <c r="AD36" i="4" s="1"/>
  <c r="AE36" i="4" s="1"/>
  <c r="AF36" i="4" s="1"/>
  <c r="B34" i="4"/>
  <c r="B33" i="4" s="1"/>
  <c r="B32" i="4" s="1"/>
  <c r="B31" i="4" s="1"/>
  <c r="B30" i="4" s="1"/>
  <c r="B29" i="4" s="1"/>
  <c r="B28" i="4" s="1"/>
  <c r="B27" i="4" s="1"/>
  <c r="B26" i="4" s="1"/>
  <c r="B25" i="4" s="1"/>
  <c r="B24" i="4" s="1"/>
  <c r="B23" i="4" s="1"/>
  <c r="B22" i="4" s="1"/>
  <c r="B21" i="4" s="1"/>
  <c r="B20" i="4" s="1"/>
  <c r="B19" i="4" s="1"/>
  <c r="B18" i="4" s="1"/>
  <c r="B17" i="4" s="1"/>
  <c r="B16" i="4" s="1"/>
  <c r="B15" i="4" s="1"/>
  <c r="B14" i="4" s="1"/>
  <c r="B13" i="4" s="1"/>
  <c r="B12" i="4" s="1"/>
  <c r="B11" i="4" s="1"/>
  <c r="B10" i="4" s="1"/>
  <c r="D36" i="1"/>
  <c r="E36" i="1" s="1"/>
  <c r="F36" i="1" s="1"/>
  <c r="G36" i="1" s="1"/>
  <c r="H36" i="1" s="1"/>
  <c r="I36" i="1" s="1"/>
  <c r="J36" i="1" s="1"/>
  <c r="K36" i="1" s="1"/>
  <c r="L36" i="1" s="1"/>
  <c r="M36" i="1" s="1"/>
  <c r="N36" i="1" s="1"/>
  <c r="O36" i="1" s="1"/>
  <c r="P36" i="1" s="1"/>
  <c r="Q36" i="1" s="1"/>
  <c r="R36" i="1" s="1"/>
  <c r="S36" i="1" s="1"/>
  <c r="T36" i="1" s="1"/>
  <c r="U36" i="1" s="1"/>
  <c r="V36" i="1" s="1"/>
  <c r="W36" i="1" s="1"/>
  <c r="X36" i="1" s="1"/>
  <c r="Y36" i="1" s="1"/>
  <c r="Z36" i="1" s="1"/>
  <c r="AA36" i="1" s="1"/>
  <c r="AB36" i="1" s="1"/>
  <c r="AC36" i="1" s="1"/>
  <c r="AD36" i="1" s="1"/>
  <c r="AE36" i="1" s="1"/>
  <c r="AF36" i="1" s="1"/>
  <c r="B34" i="1"/>
  <c r="B33" i="1" s="1"/>
  <c r="B32" i="1" s="1"/>
  <c r="B31" i="1" s="1"/>
  <c r="B30" i="1" s="1"/>
  <c r="B29" i="1" s="1"/>
  <c r="B28" i="1" s="1"/>
  <c r="B27" i="1" s="1"/>
  <c r="B26" i="1" s="1"/>
  <c r="B25" i="1" s="1"/>
  <c r="B24" i="1" s="1"/>
  <c r="B23" i="1" s="1"/>
  <c r="B22" i="1" s="1"/>
  <c r="B21" i="1" s="1"/>
  <c r="B20" i="1" s="1"/>
  <c r="B19" i="1" s="1"/>
  <c r="B18" i="1" s="1"/>
  <c r="B17" i="1" s="1"/>
  <c r="B16" i="1" s="1"/>
  <c r="B15" i="1" s="1"/>
  <c r="B14" i="1" s="1"/>
  <c r="B13" i="1" s="1"/>
  <c r="B12" i="1" s="1"/>
  <c r="B11" i="1" s="1"/>
  <c r="B10" i="1" s="1"/>
  <c r="I6" i="1"/>
  <c r="I5" i="1"/>
  <c r="I4" i="1"/>
  <c r="C10" i="2"/>
  <c r="D10" i="2"/>
  <c r="E10" i="2"/>
  <c r="F10" i="2"/>
  <c r="G10" i="2"/>
  <c r="H10" i="2"/>
  <c r="I10" i="2"/>
  <c r="J10" i="2"/>
  <c r="C11" i="2"/>
  <c r="D11" i="2"/>
  <c r="E11" i="2"/>
  <c r="F11" i="2"/>
  <c r="G11" i="2"/>
  <c r="H11" i="2"/>
  <c r="I11" i="2"/>
  <c r="J11" i="2"/>
  <c r="C12" i="2"/>
  <c r="D12" i="2"/>
  <c r="E12" i="2"/>
  <c r="F12" i="2"/>
  <c r="G12" i="2"/>
  <c r="H12" i="2"/>
  <c r="I12" i="2"/>
  <c r="J12" i="2"/>
  <c r="C14" i="2"/>
  <c r="C15" i="2"/>
  <c r="O18" i="1"/>
  <c r="P18" i="1"/>
  <c r="Q18" i="1"/>
  <c r="R18" i="1"/>
  <c r="S18" i="1"/>
  <c r="T18" i="1"/>
  <c r="G19" i="1"/>
  <c r="H19" i="1"/>
  <c r="I19" i="1"/>
  <c r="J19" i="1"/>
  <c r="K19" i="1"/>
  <c r="L19" i="1"/>
  <c r="M19" i="1"/>
  <c r="N19" i="1"/>
  <c r="O19" i="1"/>
  <c r="P19" i="1"/>
  <c r="Q19" i="1"/>
  <c r="R19" i="1"/>
  <c r="S19" i="1"/>
  <c r="T19" i="1"/>
  <c r="U19" i="1"/>
  <c r="V19" i="1"/>
  <c r="W19" i="1"/>
  <c r="X19" i="1"/>
  <c r="Y19" i="1"/>
  <c r="Z19" i="1"/>
  <c r="AA19" i="1"/>
  <c r="AB19" i="1"/>
  <c r="G20" i="1"/>
  <c r="H20" i="1"/>
  <c r="I20" i="1"/>
  <c r="J20" i="1"/>
  <c r="K20" i="1"/>
  <c r="L20" i="1"/>
  <c r="M20" i="1"/>
  <c r="N20" i="1"/>
  <c r="O20" i="1"/>
  <c r="P20" i="1"/>
  <c r="Q20" i="1"/>
  <c r="R20" i="1"/>
  <c r="S20" i="1"/>
  <c r="T20" i="1"/>
  <c r="U20" i="1"/>
  <c r="V20" i="1"/>
  <c r="W20" i="1"/>
  <c r="X20" i="1"/>
  <c r="Y20" i="1"/>
  <c r="Z20" i="1"/>
  <c r="AA20" i="1"/>
  <c r="AB20" i="1"/>
  <c r="G21" i="1"/>
  <c r="H21" i="1"/>
  <c r="I21" i="1"/>
  <c r="J21" i="1"/>
  <c r="K21" i="1"/>
  <c r="L21" i="1"/>
  <c r="M21" i="1"/>
  <c r="N21" i="1"/>
  <c r="O21" i="1"/>
  <c r="P21" i="1"/>
  <c r="Q21" i="1"/>
  <c r="R21" i="1"/>
  <c r="S21" i="1"/>
  <c r="T21" i="1"/>
  <c r="U21" i="1"/>
  <c r="V21" i="1"/>
  <c r="W21" i="1"/>
  <c r="X21" i="1"/>
  <c r="Y21" i="1"/>
  <c r="Z21" i="1"/>
  <c r="AA21" i="1"/>
  <c r="AB21" i="1"/>
  <c r="G22" i="1"/>
  <c r="H22" i="1"/>
  <c r="I22" i="1"/>
  <c r="J22" i="1"/>
  <c r="K22" i="1"/>
  <c r="L22" i="1"/>
  <c r="M22" i="1"/>
  <c r="N22" i="1"/>
  <c r="O22" i="1"/>
  <c r="P22" i="1"/>
  <c r="Q22" i="1"/>
  <c r="R22" i="1"/>
  <c r="S22" i="1"/>
  <c r="T22" i="1"/>
  <c r="U22" i="1"/>
  <c r="V22" i="1"/>
  <c r="W22" i="1"/>
  <c r="X22" i="1"/>
  <c r="Y22" i="1"/>
  <c r="Z22" i="1"/>
  <c r="AA22" i="1"/>
  <c r="AB22" i="1"/>
  <c r="G23" i="1"/>
  <c r="H23" i="1"/>
  <c r="I23" i="1"/>
  <c r="J23" i="1"/>
  <c r="K23" i="1"/>
  <c r="L23" i="1"/>
  <c r="M23" i="1"/>
  <c r="N23" i="1"/>
  <c r="O23" i="1"/>
  <c r="P23" i="1"/>
  <c r="Q23" i="1"/>
  <c r="R23" i="1"/>
  <c r="S23" i="1"/>
  <c r="T23" i="1"/>
  <c r="U23" i="1"/>
  <c r="V23" i="1"/>
  <c r="W23" i="1"/>
  <c r="X23" i="1"/>
  <c r="Y23" i="1"/>
  <c r="Z23" i="1"/>
  <c r="AA23" i="1"/>
  <c r="AB23" i="1"/>
  <c r="G24" i="1"/>
  <c r="H24" i="1"/>
  <c r="I24" i="1"/>
  <c r="J24" i="1"/>
  <c r="K24" i="1"/>
  <c r="L24" i="1"/>
  <c r="M24" i="1"/>
  <c r="N24" i="1"/>
  <c r="O24" i="1"/>
  <c r="P24" i="1"/>
  <c r="Q24" i="1"/>
  <c r="R24" i="1"/>
  <c r="S24" i="1"/>
  <c r="T24" i="1"/>
  <c r="U24" i="1"/>
  <c r="V24" i="1"/>
  <c r="W24" i="1"/>
  <c r="X24" i="1"/>
  <c r="Y24" i="1"/>
  <c r="Z24" i="1"/>
  <c r="AA24" i="1"/>
  <c r="AB24" i="1"/>
  <c r="G25" i="1"/>
  <c r="H25" i="1"/>
  <c r="I25" i="1"/>
  <c r="J25" i="1"/>
  <c r="K25" i="1"/>
  <c r="L25" i="1"/>
  <c r="M25" i="1"/>
  <c r="N25" i="1"/>
  <c r="O25" i="1"/>
  <c r="P25" i="1"/>
  <c r="Q25" i="1"/>
  <c r="R25" i="1"/>
  <c r="S25" i="1"/>
  <c r="T25" i="1"/>
  <c r="U25" i="1"/>
  <c r="V25" i="1"/>
  <c r="W25" i="1"/>
  <c r="X25" i="1"/>
  <c r="Y25" i="1"/>
  <c r="Z25" i="1"/>
  <c r="AA25" i="1"/>
  <c r="AB25" i="1"/>
  <c r="G26" i="1"/>
  <c r="H26" i="1"/>
  <c r="I26" i="1"/>
  <c r="J26" i="1"/>
  <c r="K26" i="1"/>
  <c r="L26" i="1"/>
  <c r="M26" i="1"/>
  <c r="N26" i="1"/>
  <c r="O26" i="1"/>
  <c r="P26" i="1"/>
  <c r="Q26" i="1"/>
  <c r="R26" i="1"/>
  <c r="S26" i="1"/>
  <c r="T26" i="1"/>
  <c r="U26" i="1"/>
  <c r="V26" i="1"/>
  <c r="W26" i="1"/>
  <c r="X26" i="1"/>
  <c r="Y26" i="1"/>
  <c r="Z26" i="1"/>
  <c r="AA26" i="1"/>
  <c r="AB26" i="1"/>
  <c r="G27" i="1"/>
  <c r="H27" i="1"/>
  <c r="I27" i="1"/>
  <c r="J27" i="1"/>
  <c r="K27" i="1"/>
  <c r="L27" i="1"/>
  <c r="M27" i="1"/>
  <c r="N27" i="1"/>
  <c r="O27" i="1"/>
  <c r="P27" i="1"/>
  <c r="Q27" i="1"/>
  <c r="R27" i="1"/>
  <c r="S27" i="1"/>
  <c r="T27" i="1"/>
  <c r="U27" i="1"/>
  <c r="V27" i="1"/>
  <c r="W27" i="1"/>
  <c r="X27" i="1"/>
  <c r="Y27" i="1"/>
  <c r="Z27" i="1"/>
  <c r="AA27" i="1"/>
  <c r="AB27" i="1"/>
  <c r="G28" i="1"/>
  <c r="H28" i="1"/>
  <c r="I28" i="1"/>
  <c r="J28" i="1"/>
  <c r="K28" i="1"/>
  <c r="L28" i="1"/>
  <c r="M28" i="1"/>
  <c r="N28" i="1"/>
  <c r="O28" i="1"/>
  <c r="P28" i="1"/>
  <c r="Q28" i="1"/>
  <c r="R28" i="1"/>
  <c r="S28" i="1"/>
  <c r="T28" i="1"/>
  <c r="U28" i="1"/>
  <c r="V28" i="1"/>
  <c r="W28" i="1"/>
  <c r="X28" i="1"/>
  <c r="Y28" i="1"/>
  <c r="Z28" i="1"/>
  <c r="AA28" i="1"/>
  <c r="AB28" i="1"/>
  <c r="G29" i="1"/>
  <c r="H29" i="1"/>
  <c r="I29" i="1"/>
  <c r="J29" i="1"/>
  <c r="K29" i="1"/>
  <c r="L29" i="1"/>
  <c r="M29" i="1"/>
  <c r="N29" i="1"/>
  <c r="O29" i="1"/>
  <c r="P29" i="1"/>
  <c r="Q29" i="1"/>
  <c r="R29" i="1"/>
  <c r="S29" i="1"/>
  <c r="T29" i="1"/>
  <c r="U29" i="1"/>
  <c r="V29" i="1"/>
  <c r="W29" i="1"/>
  <c r="X29" i="1"/>
  <c r="Y29" i="1"/>
  <c r="Z29" i="1"/>
  <c r="AA29" i="1"/>
  <c r="AB29" i="1"/>
</calcChain>
</file>

<file path=xl/sharedStrings.xml><?xml version="1.0" encoding="utf-8"?>
<sst xmlns="http://schemas.openxmlformats.org/spreadsheetml/2006/main" count="34" uniqueCount="30">
  <si>
    <t>Total Q:</t>
  </si>
  <si>
    <t>Finite Difference Solution - 2D Seepage</t>
  </si>
  <si>
    <t>Head 1:</t>
  </si>
  <si>
    <t>Head 2:</t>
  </si>
  <si>
    <t>Active:</t>
  </si>
  <si>
    <t>Background:</t>
  </si>
  <si>
    <t>day</t>
  </si>
  <si>
    <t>Length unit:</t>
  </si>
  <si>
    <t>Time unit:</t>
  </si>
  <si>
    <t>Cell Size:</t>
  </si>
  <si>
    <t>K:</t>
  </si>
  <si>
    <t>Hydraulic Gradient</t>
  </si>
  <si>
    <t>Y</t>
  </si>
  <si>
    <t>X</t>
  </si>
  <si>
    <t>Critical gradient:</t>
  </si>
  <si>
    <t>Flow Rate</t>
  </si>
  <si>
    <t>Problem length (transverse):</t>
  </si>
  <si>
    <t>Head boundary:</t>
  </si>
  <si>
    <t>&lt;-- Select 1 or 2</t>
  </si>
  <si>
    <t>dh/dy:</t>
  </si>
  <si>
    <t>qi:</t>
  </si>
  <si>
    <t>xi:</t>
  </si>
  <si>
    <t>Ai:</t>
  </si>
  <si>
    <t>vi:</t>
  </si>
  <si>
    <t>Unit Q:</t>
  </si>
  <si>
    <t>Max gradient:</t>
  </si>
  <si>
    <t>ft</t>
  </si>
  <si>
    <t>Arrow color:</t>
  </si>
  <si>
    <t>Arrow size:</t>
  </si>
  <si>
    <t>CE En 544 - Brigham Young University</t>
  </si>
</sst>
</file>

<file path=xl/styles.xml><?xml version="1.0" encoding="utf-8"?>
<styleSheet xmlns="http://schemas.openxmlformats.org/spreadsheetml/2006/main" xmlns:mc="http://schemas.openxmlformats.org/markup-compatibility/2006" xmlns:x14ac="http://schemas.microsoft.com/office/spreadsheetml/2009/9/ac" mc:Ignorable="x14ac">
  <numFmts count="4">
    <numFmt numFmtId="164" formatCode="0.0"/>
    <numFmt numFmtId="165" formatCode="0.0000"/>
    <numFmt numFmtId="166" formatCode="0.00000"/>
    <numFmt numFmtId="167" formatCode="0.0000000"/>
  </numFmts>
  <fonts count="13" x14ac:knownFonts="1">
    <font>
      <sz val="10"/>
      <name val="Arial"/>
    </font>
    <font>
      <sz val="8"/>
      <name val="Arial"/>
      <family val="2"/>
    </font>
    <font>
      <b/>
      <sz val="18"/>
      <name val="Calibri"/>
      <family val="2"/>
      <scheme val="minor"/>
    </font>
    <font>
      <sz val="10"/>
      <name val="Calibri"/>
      <family val="2"/>
      <scheme val="minor"/>
    </font>
    <font>
      <i/>
      <sz val="10"/>
      <name val="Calibri"/>
      <family val="2"/>
      <scheme val="minor"/>
    </font>
    <font>
      <b/>
      <sz val="10"/>
      <name val="Calibri"/>
      <family val="2"/>
      <scheme val="minor"/>
    </font>
    <font>
      <b/>
      <sz val="8"/>
      <name val="Calibri"/>
      <family val="2"/>
      <scheme val="minor"/>
    </font>
    <font>
      <i/>
      <sz val="8"/>
      <name val="Calibri"/>
      <family val="2"/>
      <scheme val="minor"/>
    </font>
    <font>
      <sz val="8"/>
      <name val="Calibri"/>
      <family val="2"/>
      <scheme val="minor"/>
    </font>
    <font>
      <b/>
      <sz val="10"/>
      <color rgb="FF0070C0"/>
      <name val="Calibri"/>
      <family val="2"/>
      <scheme val="minor"/>
    </font>
    <font>
      <sz val="9"/>
      <name val="Calibri"/>
      <family val="2"/>
      <scheme val="minor"/>
    </font>
    <font>
      <b/>
      <sz val="20"/>
      <name val="Calibri"/>
      <family val="2"/>
      <scheme val="minor"/>
    </font>
    <font>
      <b/>
      <sz val="16"/>
      <name val="Calibri"/>
      <family val="2"/>
      <scheme val="minor"/>
    </font>
  </fonts>
  <fills count="9">
    <fill>
      <patternFill patternType="none"/>
    </fill>
    <fill>
      <patternFill patternType="gray125"/>
    </fill>
    <fill>
      <patternFill patternType="solid">
        <fgColor theme="0"/>
        <bgColor indexed="64"/>
      </patternFill>
    </fill>
    <fill>
      <patternFill patternType="solid">
        <fgColor theme="9" tint="-0.249977111117893"/>
        <bgColor indexed="64"/>
      </patternFill>
    </fill>
    <fill>
      <patternFill patternType="solid">
        <fgColor theme="5" tint="0.39997558519241921"/>
        <bgColor indexed="64"/>
      </patternFill>
    </fill>
    <fill>
      <patternFill patternType="solid">
        <fgColor theme="9" tint="0.59999389629810485"/>
        <bgColor indexed="64"/>
      </patternFill>
    </fill>
    <fill>
      <patternFill patternType="solid">
        <fgColor theme="1"/>
        <bgColor indexed="64"/>
      </patternFill>
    </fill>
    <fill>
      <patternFill patternType="solid">
        <fgColor theme="0" tint="-0.249977111117893"/>
        <bgColor indexed="64"/>
      </patternFill>
    </fill>
    <fill>
      <patternFill patternType="solid">
        <fgColor rgb="FF0000FF"/>
        <bgColor indexed="64"/>
      </patternFill>
    </fill>
  </fills>
  <borders count="9">
    <border>
      <left/>
      <right/>
      <top/>
      <bottom/>
      <diagonal/>
    </border>
    <border>
      <left style="thin">
        <color indexed="64"/>
      </left>
      <right/>
      <top/>
      <bottom/>
      <diagonal/>
    </border>
    <border>
      <left/>
      <right/>
      <top style="thin">
        <color indexed="64"/>
      </top>
      <bottom/>
      <diagonal/>
    </border>
    <border>
      <left/>
      <right/>
      <top/>
      <bottom style="thin">
        <color indexed="64"/>
      </bottom>
      <diagonal/>
    </border>
    <border>
      <left/>
      <right style="thin">
        <color indexed="64"/>
      </right>
      <top/>
      <bottom/>
      <diagonal/>
    </border>
    <border>
      <left/>
      <right/>
      <top style="medium">
        <color indexed="64"/>
      </top>
      <bottom/>
      <diagonal/>
    </border>
    <border>
      <left style="thin">
        <color indexed="64"/>
      </left>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s>
  <cellStyleXfs count="1">
    <xf numFmtId="0" fontId="0" fillId="0" borderId="0"/>
  </cellStyleXfs>
  <cellXfs count="48">
    <xf numFmtId="0" fontId="0" fillId="0" borderId="0" xfId="0"/>
    <xf numFmtId="0" fontId="2" fillId="0" borderId="0" xfId="0" applyFont="1"/>
    <xf numFmtId="0" fontId="3" fillId="0" borderId="0" xfId="0" applyFont="1"/>
    <xf numFmtId="0" fontId="4" fillId="0" borderId="0" xfId="0" applyFont="1"/>
    <xf numFmtId="0" fontId="5" fillId="0" borderId="0" xfId="0" applyFont="1" applyAlignment="1">
      <alignment horizontal="right"/>
    </xf>
    <xf numFmtId="0" fontId="3" fillId="0" borderId="0" xfId="0" applyFont="1" applyAlignment="1">
      <alignment horizontal="center"/>
    </xf>
    <xf numFmtId="0" fontId="3" fillId="0" borderId="1" xfId="0" applyFont="1" applyBorder="1" applyAlignment="1">
      <alignment horizontal="center"/>
    </xf>
    <xf numFmtId="0" fontId="6" fillId="0" borderId="0" xfId="0" applyFont="1"/>
    <xf numFmtId="0" fontId="7" fillId="0" borderId="0" xfId="0" applyFont="1"/>
    <xf numFmtId="0" fontId="8" fillId="0" borderId="0" xfId="0" applyFont="1"/>
    <xf numFmtId="0" fontId="3" fillId="0" borderId="2" xfId="0" applyFont="1" applyBorder="1" applyAlignment="1">
      <alignment horizontal="center" vertical="top"/>
    </xf>
    <xf numFmtId="0" fontId="3" fillId="0" borderId="0" xfId="0" applyFont="1" applyBorder="1" applyAlignment="1">
      <alignment horizontal="center" vertical="top"/>
    </xf>
    <xf numFmtId="0" fontId="3" fillId="0" borderId="3" xfId="0" applyFont="1" applyBorder="1" applyAlignment="1">
      <alignment horizontal="center" vertical="top"/>
    </xf>
    <xf numFmtId="0" fontId="3" fillId="0" borderId="0" xfId="0" applyFont="1" applyBorder="1" applyAlignment="1">
      <alignment horizontal="center"/>
    </xf>
    <xf numFmtId="0" fontId="3" fillId="0" borderId="4" xfId="0" applyFont="1" applyBorder="1" applyAlignment="1">
      <alignment horizontal="center"/>
    </xf>
    <xf numFmtId="165" fontId="3" fillId="0" borderId="0" xfId="0" applyNumberFormat="1" applyFont="1"/>
    <xf numFmtId="166" fontId="3" fillId="0" borderId="0" xfId="0" applyNumberFormat="1" applyFont="1"/>
    <xf numFmtId="167" fontId="0" fillId="0" borderId="0" xfId="0" applyNumberFormat="1"/>
    <xf numFmtId="0" fontId="5" fillId="0" borderId="0" xfId="0" applyFont="1" applyFill="1" applyBorder="1" applyAlignment="1">
      <alignment horizontal="right"/>
    </xf>
    <xf numFmtId="165" fontId="3" fillId="0" borderId="0" xfId="0" applyNumberFormat="1" applyFont="1" applyBorder="1" applyAlignment="1">
      <alignment horizontal="center"/>
    </xf>
    <xf numFmtId="165" fontId="3" fillId="0" borderId="0" xfId="0" applyNumberFormat="1" applyFont="1" applyAlignment="1">
      <alignment horizontal="center"/>
    </xf>
    <xf numFmtId="165" fontId="9" fillId="2" borderId="0" xfId="0" applyNumberFormat="1" applyFont="1" applyFill="1" applyBorder="1" applyAlignment="1">
      <alignment horizontal="center"/>
    </xf>
    <xf numFmtId="164" fontId="9" fillId="2" borderId="0" xfId="0" applyNumberFormat="1" applyFont="1" applyFill="1" applyBorder="1" applyAlignment="1">
      <alignment horizontal="center"/>
    </xf>
    <xf numFmtId="2" fontId="3" fillId="0" borderId="0" xfId="0" applyNumberFormat="1" applyFont="1" applyAlignment="1">
      <alignment horizontal="center"/>
    </xf>
    <xf numFmtId="0" fontId="3" fillId="3" borderId="0" xfId="0" applyFont="1" applyFill="1" applyBorder="1" applyAlignment="1">
      <alignment horizontal="center" vertical="top"/>
    </xf>
    <xf numFmtId="0" fontId="3" fillId="4" borderId="0" xfId="0" applyFont="1" applyFill="1" applyBorder="1" applyAlignment="1">
      <alignment horizontal="center" vertical="top"/>
    </xf>
    <xf numFmtId="0" fontId="3" fillId="5" borderId="0" xfId="0" applyFont="1" applyFill="1" applyBorder="1" applyAlignment="1">
      <alignment horizontal="center" vertical="top"/>
    </xf>
    <xf numFmtId="0" fontId="3" fillId="6" borderId="5" xfId="0" applyFont="1" applyFill="1" applyBorder="1" applyAlignment="1">
      <alignment horizontal="center" vertical="top"/>
    </xf>
    <xf numFmtId="164" fontId="10" fillId="6" borderId="0" xfId="0" applyNumberFormat="1" applyFont="1" applyFill="1" applyBorder="1"/>
    <xf numFmtId="164" fontId="10" fillId="5" borderId="0" xfId="0" applyNumberFormat="1" applyFont="1" applyFill="1" applyBorder="1"/>
    <xf numFmtId="2" fontId="10" fillId="6" borderId="0" xfId="0" applyNumberFormat="1" applyFont="1" applyFill="1" applyBorder="1"/>
    <xf numFmtId="2" fontId="10" fillId="5" borderId="0" xfId="0" applyNumberFormat="1" applyFont="1" applyFill="1" applyBorder="1"/>
    <xf numFmtId="0" fontId="11" fillId="7" borderId="6" xfId="0" applyFont="1" applyFill="1" applyBorder="1" applyAlignment="1">
      <alignment horizontal="center" vertical="center" textRotation="90"/>
    </xf>
    <xf numFmtId="0" fontId="11" fillId="7" borderId="1" xfId="0" applyFont="1" applyFill="1" applyBorder="1" applyAlignment="1">
      <alignment horizontal="center" vertical="center" textRotation="90"/>
    </xf>
    <xf numFmtId="0" fontId="11" fillId="7" borderId="7" xfId="0" applyFont="1" applyFill="1" applyBorder="1" applyAlignment="1">
      <alignment horizontal="center" vertical="center" textRotation="90"/>
    </xf>
    <xf numFmtId="0" fontId="11" fillId="7" borderId="7" xfId="0" applyFont="1" applyFill="1" applyBorder="1" applyAlignment="1">
      <alignment horizontal="center"/>
    </xf>
    <xf numFmtId="0" fontId="11" fillId="7" borderId="3" xfId="0" applyFont="1" applyFill="1" applyBorder="1" applyAlignment="1">
      <alignment horizontal="center"/>
    </xf>
    <xf numFmtId="0" fontId="11" fillId="7" borderId="8" xfId="0" applyFont="1" applyFill="1" applyBorder="1" applyAlignment="1">
      <alignment horizontal="center"/>
    </xf>
    <xf numFmtId="0" fontId="12" fillId="7" borderId="6" xfId="0" applyFont="1" applyFill="1" applyBorder="1" applyAlignment="1">
      <alignment horizontal="center" vertical="center" textRotation="90"/>
    </xf>
    <xf numFmtId="0" fontId="12" fillId="7" borderId="1" xfId="0" applyFont="1" applyFill="1" applyBorder="1" applyAlignment="1">
      <alignment horizontal="center" vertical="center" textRotation="90"/>
    </xf>
    <xf numFmtId="0" fontId="12" fillId="7" borderId="7" xfId="0" applyFont="1" applyFill="1" applyBorder="1" applyAlignment="1">
      <alignment horizontal="center" vertical="center" textRotation="90"/>
    </xf>
    <xf numFmtId="0" fontId="12" fillId="7" borderId="7" xfId="0" applyFont="1" applyFill="1" applyBorder="1" applyAlignment="1">
      <alignment horizontal="center"/>
    </xf>
    <xf numFmtId="0" fontId="12" fillId="7" borderId="3" xfId="0" applyFont="1" applyFill="1" applyBorder="1" applyAlignment="1">
      <alignment horizontal="center"/>
    </xf>
    <xf numFmtId="0" fontId="12" fillId="7" borderId="8" xfId="0" applyFont="1" applyFill="1" applyBorder="1" applyAlignment="1">
      <alignment horizontal="center"/>
    </xf>
    <xf numFmtId="0" fontId="5" fillId="0" borderId="0" xfId="0" applyFont="1"/>
    <xf numFmtId="0" fontId="3" fillId="8" borderId="0" xfId="0" applyFont="1" applyFill="1"/>
    <xf numFmtId="2" fontId="3" fillId="4" borderId="0" xfId="0" applyNumberFormat="1" applyFont="1" applyFill="1" applyBorder="1" applyAlignment="1">
      <alignment horizontal="center" vertical="top"/>
    </xf>
    <xf numFmtId="2" fontId="3" fillId="3" borderId="0" xfId="0" applyNumberFormat="1" applyFont="1" applyFill="1" applyBorder="1" applyAlignment="1">
      <alignment horizontal="center" vertical="top"/>
    </xf>
  </cellXfs>
  <cellStyles count="1">
    <cellStyle name="Normal" xfId="0" builtinId="0"/>
  </cellStyles>
  <dxfs count="5">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s>
  <tableStyles count="0" defaultTableStyle="TableStyleMedium9" defaultPivotStyle="PivotStyleLight16"/>
  <colors>
    <mruColors>
      <color rgb="FF0000FF"/>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8BD21D40-EC42-11CE-9E0D-00AA006002F3}"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8BD21D40-EC42-11CE-9E0D-00AA006002F3}"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8BD21D50-EC42-11CE-9E0D-00AA006002F3}" ax:persistence="persistStreamInit" r:id="rId1"/>
</file>

<file path=xl/activeX/activeX7.xml><?xml version="1.0" encoding="utf-8"?>
<ax:ocx xmlns:ax="http://schemas.microsoft.com/office/2006/activeX" xmlns:r="http://schemas.openxmlformats.org/officeDocument/2006/relationships" ax:classid="{8BD21D50-EC42-11CE-9E0D-00AA006002F3}" ax:persistence="persistStreamInit" r:id="rId1"/>
</file>

<file path=xl/activeX/activeX8.xml><?xml version="1.0" encoding="utf-8"?>
<ax:ocx xmlns:ax="http://schemas.microsoft.com/office/2006/activeX" xmlns:r="http://schemas.openxmlformats.org/officeDocument/2006/relationships" ax:classid="{8BD21D50-EC42-11CE-9E0D-00AA006002F3}"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3" Type="http://schemas.openxmlformats.org/officeDocument/2006/relationships/image" Target="../media/image4.emf"/><Relationship Id="rId2" Type="http://schemas.openxmlformats.org/officeDocument/2006/relationships/image" Target="../media/image2.emf"/><Relationship Id="rId1" Type="http://schemas.openxmlformats.org/officeDocument/2006/relationships/image" Target="../media/image3.emf"/><Relationship Id="rId4"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3" Type="http://schemas.openxmlformats.org/officeDocument/2006/relationships/image" Target="../media/image7.emf"/><Relationship Id="rId2" Type="http://schemas.openxmlformats.org/officeDocument/2006/relationships/image" Target="../media/image5.wmf"/><Relationship Id="rId1" Type="http://schemas.openxmlformats.org/officeDocument/2006/relationships/image" Target="../media/image6.emf"/><Relationship Id="rId5" Type="http://schemas.openxmlformats.org/officeDocument/2006/relationships/image" Target="../media/image9.emf"/><Relationship Id="rId4" Type="http://schemas.openxmlformats.org/officeDocument/2006/relationships/image" Target="../media/image8.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10.emf"/></Relationships>
</file>

<file path=xl/drawings/drawing1.xml><?xml version="1.0" encoding="utf-8"?>
<xdr:wsDr xmlns:xdr="http://schemas.openxmlformats.org/drawingml/2006/spreadsheetDrawing" xmlns:a="http://schemas.openxmlformats.org/drawingml/2006/main">
  <xdr:twoCellAnchor>
    <xdr:from>
      <xdr:col>19</xdr:col>
      <xdr:colOff>19242</xdr:colOff>
      <xdr:row>0</xdr:row>
      <xdr:rowOff>144318</xdr:rowOff>
    </xdr:from>
    <xdr:to>
      <xdr:col>31</xdr:col>
      <xdr:colOff>240529</xdr:colOff>
      <xdr:row>8</xdr:row>
      <xdr:rowOff>76970</xdr:rowOff>
    </xdr:to>
    <xdr:sp macro="" textlink="">
      <xdr:nvSpPr>
        <xdr:cNvPr id="7" name="TextBox 6"/>
        <xdr:cNvSpPr txBox="1"/>
      </xdr:nvSpPr>
      <xdr:spPr>
        <a:xfrm>
          <a:off x="5945909" y="144318"/>
          <a:ext cx="3915832" cy="138545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wrap="square" rtlCol="0" anchor="t"/>
        <a:lstStyle/>
        <a:p>
          <a:r>
            <a:rPr lang="en-US" sz="1000" b="1"/>
            <a:t>Directions</a:t>
          </a:r>
          <a:r>
            <a:rPr lang="en-US" sz="1000"/>
            <a:t>: This spreadsheet</a:t>
          </a:r>
          <a:r>
            <a:rPr lang="en-US" sz="1000" baseline="0"/>
            <a:t> solved seepage problems using the finite difference method.  It is assumed that kx=ky and that dx=dy.  Fill the problem domain shown below with the proper colors according to the legend and click on the "Build Equations" button.  Then hit F9 repeatedly to solve the equations iteratively.  Any cell not colored as Head 1, Head 2, or Active is assumed to be inactive (no-flow).  The grid is mesh-centered, i.e., each cell corresponds to a corner node of the implicitly-defined grid.</a:t>
          </a:r>
          <a:endParaRPr lang="en-US" sz="1000"/>
        </a:p>
      </xdr:txBody>
    </xdr:sp>
    <xdr:clientData/>
  </xdr:twoCellAnchor>
  <mc:AlternateContent xmlns:mc="http://schemas.openxmlformats.org/markup-compatibility/2006">
    <mc:Choice xmlns:a14="http://schemas.microsoft.com/office/drawing/2010/main" Requires="a14">
      <xdr:twoCellAnchor editAs="oneCell">
        <xdr:from>
          <xdr:col>9</xdr:col>
          <xdr:colOff>172700</xdr:colOff>
          <xdr:row>6</xdr:row>
          <xdr:rowOff>48105</xdr:rowOff>
        </xdr:from>
        <xdr:to>
          <xdr:col>13</xdr:col>
          <xdr:colOff>0</xdr:colOff>
          <xdr:row>8</xdr:row>
          <xdr:rowOff>19241</xdr:rowOff>
        </xdr:to>
        <xdr:sp macro="" textlink="">
          <xdr:nvSpPr>
            <xdr:cNvPr id="1072" name="cmdBuildEquations" hidden="1">
              <a:extLst>
                <a:ext uri="{63B3BB69-23CF-44E3-9099-C40C66FF867C}">
                  <a14:compatExt spid="_x0000_s107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268142</xdr:colOff>
          <xdr:row>0</xdr:row>
          <xdr:rowOff>297293</xdr:rowOff>
        </xdr:from>
        <xdr:to>
          <xdr:col>18</xdr:col>
          <xdr:colOff>258617</xdr:colOff>
          <xdr:row>2</xdr:row>
          <xdr:rowOff>86396</xdr:rowOff>
        </xdr:to>
        <xdr:sp macro="" textlink="">
          <xdr:nvSpPr>
            <xdr:cNvPr id="1073" name="chkColorShade" hidden="1">
              <a:extLst>
                <a:ext uri="{63B3BB69-23CF-44E3-9099-C40C66FF867C}">
                  <a14:compatExt spid="_x0000_s107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258425</xdr:colOff>
          <xdr:row>2</xdr:row>
          <xdr:rowOff>95055</xdr:rowOff>
        </xdr:from>
        <xdr:to>
          <xdr:col>18</xdr:col>
          <xdr:colOff>163560</xdr:colOff>
          <xdr:row>3</xdr:row>
          <xdr:rowOff>144318</xdr:rowOff>
        </xdr:to>
        <xdr:sp macro="" textlink="">
          <xdr:nvSpPr>
            <xdr:cNvPr id="1074" name="chkFlowDirections" hidden="1">
              <a:extLst>
                <a:ext uri="{63B3BB69-23CF-44E3-9099-C40C66FF867C}">
                  <a14:compatExt spid="_x0000_s107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240337</xdr:colOff>
          <xdr:row>6</xdr:row>
          <xdr:rowOff>76584</xdr:rowOff>
        </xdr:from>
        <xdr:to>
          <xdr:col>18</xdr:col>
          <xdr:colOff>19241</xdr:colOff>
          <xdr:row>8</xdr:row>
          <xdr:rowOff>3560</xdr:rowOff>
        </xdr:to>
        <xdr:sp macro="" textlink="">
          <xdr:nvSpPr>
            <xdr:cNvPr id="5866" name="cmdRedrawArrows" hidden="1">
              <a:extLst>
                <a:ext uri="{63B3BB69-23CF-44E3-9099-C40C66FF867C}">
                  <a14:compatExt spid="_x0000_s1075"/>
                </a:ext>
              </a:extLst>
            </xdr:cNvPr>
            <xdr:cNvSpPr/>
          </xdr:nvSpPr>
          <xdr:spPr>
            <a:xfrm>
              <a:off x="0" y="0"/>
              <a:ext cx="0" cy="0"/>
            </a:xfrm>
            <a:prstGeom prst="rect">
              <a:avLst/>
            </a:prstGeom>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16</xdr:col>
      <xdr:colOff>238126</xdr:colOff>
      <xdr:row>0</xdr:row>
      <xdr:rowOff>133350</xdr:rowOff>
    </xdr:from>
    <xdr:to>
      <xdr:col>31</xdr:col>
      <xdr:colOff>85726</xdr:colOff>
      <xdr:row>7</xdr:row>
      <xdr:rowOff>104775</xdr:rowOff>
    </xdr:to>
    <xdr:sp macro="" textlink="">
      <xdr:nvSpPr>
        <xdr:cNvPr id="2" name="TextBox 1"/>
        <xdr:cNvSpPr txBox="1"/>
      </xdr:nvSpPr>
      <xdr:spPr>
        <a:xfrm>
          <a:off x="5153026" y="133350"/>
          <a:ext cx="4419600" cy="12382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wrap="square" rtlCol="0" anchor="t"/>
        <a:lstStyle/>
        <a:p>
          <a:pPr marL="0" marR="0" indent="0" defTabSz="914400" eaLnBrk="1" fontAlgn="auto" latinLnBrk="0" hangingPunct="1">
            <a:lnSpc>
              <a:spcPct val="100000"/>
            </a:lnSpc>
            <a:spcBef>
              <a:spcPts val="0"/>
            </a:spcBef>
            <a:spcAft>
              <a:spcPts val="0"/>
            </a:spcAft>
            <a:buClrTx/>
            <a:buSzTx/>
            <a:buFontTx/>
            <a:buNone/>
            <a:tabLst/>
            <a:defRPr/>
          </a:pPr>
          <a:r>
            <a:rPr lang="en-US" sz="1000" b="1">
              <a:solidFill>
                <a:schemeClr val="dk1"/>
              </a:solidFill>
              <a:latin typeface="+mn-lt"/>
              <a:ea typeface="+mn-ea"/>
              <a:cs typeface="+mn-cs"/>
            </a:rPr>
            <a:t>Directions</a:t>
          </a:r>
          <a:r>
            <a:rPr lang="en-US" sz="1000">
              <a:solidFill>
                <a:schemeClr val="dk1"/>
              </a:solidFill>
              <a:latin typeface="+mn-lt"/>
              <a:ea typeface="+mn-ea"/>
              <a:cs typeface="+mn-cs"/>
            </a:rPr>
            <a:t>:  This</a:t>
          </a:r>
          <a:r>
            <a:rPr lang="en-US" sz="1000" baseline="0">
              <a:solidFill>
                <a:schemeClr val="dk1"/>
              </a:solidFill>
              <a:latin typeface="+mn-lt"/>
              <a:ea typeface="+mn-ea"/>
              <a:cs typeface="+mn-cs"/>
            </a:rPr>
            <a:t> sheet is used to compute the hydraulic gradient in each cell using the heads computed on the Main sheet.  This sheet does not use formulas (all calculations are done in the VB code) so the gradients need to be re-calculated whenever the values in the Main sheet are updated.  Conditional formatting is used to highlights cells with gradients above the critical value.  You may need to press F9 to update the formatting.  The gradient is the overall gradient magnitude as shown in the equation on the right.</a:t>
          </a:r>
          <a:endParaRPr lang="en-US" sz="1000">
            <a:solidFill>
              <a:schemeClr val="dk1"/>
            </a:solidFill>
            <a:latin typeface="+mn-lt"/>
            <a:ea typeface="+mn-ea"/>
            <a:cs typeface="+mn-cs"/>
          </a:endParaRPr>
        </a:p>
        <a:p>
          <a:endParaRPr lang="en-US" sz="1000"/>
        </a:p>
      </xdr:txBody>
    </xdr:sp>
    <xdr:clientData/>
  </xdr:twoCellAnchor>
  <mc:AlternateContent xmlns:mc="http://schemas.openxmlformats.org/markup-compatibility/2006">
    <mc:Choice xmlns:a14="http://schemas.microsoft.com/office/drawing/2010/main" Requires="a14">
      <xdr:twoCellAnchor editAs="oneCell">
        <xdr:from>
          <xdr:col>1</xdr:col>
          <xdr:colOff>142875</xdr:colOff>
          <xdr:row>2</xdr:row>
          <xdr:rowOff>9525</xdr:rowOff>
        </xdr:from>
        <xdr:to>
          <xdr:col>5</xdr:col>
          <xdr:colOff>285750</xdr:colOff>
          <xdr:row>4</xdr:row>
          <xdr:rowOff>38100</xdr:rowOff>
        </xdr:to>
        <xdr:sp macro="" textlink="">
          <xdr:nvSpPr>
            <xdr:cNvPr id="2049" name="cmdCalculateGradients" hidden="1">
              <a:extLst>
                <a:ext uri="{63B3BB69-23CF-44E3-9099-C40C66FF867C}">
                  <a14:compatExt spid="_x0000_s204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31</xdr:col>
          <xdr:colOff>238125</xdr:colOff>
          <xdr:row>2</xdr:row>
          <xdr:rowOff>19050</xdr:rowOff>
        </xdr:from>
        <xdr:to>
          <xdr:col>34</xdr:col>
          <xdr:colOff>38100</xdr:colOff>
          <xdr:row>5</xdr:row>
          <xdr:rowOff>66675</xdr:rowOff>
        </xdr:to>
        <xdr:sp macro="" textlink="">
          <xdr:nvSpPr>
            <xdr:cNvPr id="2053" name="Object 5" hidden="1">
              <a:extLst>
                <a:ext uri="{63B3BB69-23CF-44E3-9099-C40C66FF867C}">
                  <a14:compatExt spid="_x0000_s205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28575</xdr:colOff>
          <xdr:row>3</xdr:row>
          <xdr:rowOff>19050</xdr:rowOff>
        </xdr:from>
        <xdr:to>
          <xdr:col>14</xdr:col>
          <xdr:colOff>219075</xdr:colOff>
          <xdr:row>4</xdr:row>
          <xdr:rowOff>104775</xdr:rowOff>
        </xdr:to>
        <xdr:sp macro="" textlink="">
          <xdr:nvSpPr>
            <xdr:cNvPr id="2055" name="optRemove" hidden="1">
              <a:extLst>
                <a:ext uri="{63B3BB69-23CF-44E3-9099-C40C66FF867C}">
                  <a14:compatExt spid="_x0000_s205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19050</xdr:colOff>
          <xdr:row>4</xdr:row>
          <xdr:rowOff>104775</xdr:rowOff>
        </xdr:from>
        <xdr:to>
          <xdr:col>16</xdr:col>
          <xdr:colOff>76200</xdr:colOff>
          <xdr:row>6</xdr:row>
          <xdr:rowOff>28575</xdr:rowOff>
        </xdr:to>
        <xdr:sp macro="" textlink="">
          <xdr:nvSpPr>
            <xdr:cNvPr id="2056" name="optHighlight" hidden="1">
              <a:extLst>
                <a:ext uri="{63B3BB69-23CF-44E3-9099-C40C66FF867C}">
                  <a14:compatExt spid="_x0000_s205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19050</xdr:colOff>
          <xdr:row>6</xdr:row>
          <xdr:rowOff>19050</xdr:rowOff>
        </xdr:from>
        <xdr:to>
          <xdr:col>15</xdr:col>
          <xdr:colOff>180975</xdr:colOff>
          <xdr:row>7</xdr:row>
          <xdr:rowOff>104775</xdr:rowOff>
        </xdr:to>
        <xdr:sp macro="" textlink="">
          <xdr:nvSpPr>
            <xdr:cNvPr id="2057" name="optColorShade" hidden="1">
              <a:extLst>
                <a:ext uri="{63B3BB69-23CF-44E3-9099-C40C66FF867C}">
                  <a14:compatExt spid="_x0000_s2057"/>
                </a:ext>
              </a:extLst>
            </xdr:cNvPr>
            <xdr:cNvSpPr/>
          </xdr:nvSpPr>
          <xdr:spPr>
            <a:xfrm>
              <a:off x="0" y="0"/>
              <a:ext cx="0" cy="0"/>
            </a:xfrm>
            <a:prstGeom prst="rect">
              <a:avLst/>
            </a:prstGeom>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8</xdr:col>
      <xdr:colOff>552450</xdr:colOff>
      <xdr:row>0</xdr:row>
      <xdr:rowOff>142875</xdr:rowOff>
    </xdr:from>
    <xdr:to>
      <xdr:col>16</xdr:col>
      <xdr:colOff>390525</xdr:colOff>
      <xdr:row>6</xdr:row>
      <xdr:rowOff>57150</xdr:rowOff>
    </xdr:to>
    <xdr:sp macro="" textlink="">
      <xdr:nvSpPr>
        <xdr:cNvPr id="2" name="TextBox 1"/>
        <xdr:cNvSpPr txBox="1"/>
      </xdr:nvSpPr>
      <xdr:spPr>
        <a:xfrm>
          <a:off x="5438775" y="142875"/>
          <a:ext cx="4714875" cy="10191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wrap="square" rtlCol="0" anchor="t"/>
        <a:lstStyle/>
        <a:p>
          <a:pPr marL="0" marR="0" indent="0" defTabSz="914400" eaLnBrk="1" fontAlgn="auto" latinLnBrk="0" hangingPunct="1">
            <a:lnSpc>
              <a:spcPct val="100000"/>
            </a:lnSpc>
            <a:spcBef>
              <a:spcPts val="0"/>
            </a:spcBef>
            <a:spcAft>
              <a:spcPts val="0"/>
            </a:spcAft>
            <a:buClrTx/>
            <a:buSzTx/>
            <a:buFontTx/>
            <a:buNone/>
            <a:tabLst/>
            <a:defRPr/>
          </a:pPr>
          <a:r>
            <a:rPr lang="en-US" sz="1000" b="1">
              <a:solidFill>
                <a:schemeClr val="dk1"/>
              </a:solidFill>
              <a:latin typeface="+mn-lt"/>
              <a:ea typeface="+mn-ea"/>
              <a:cs typeface="+mn-cs"/>
            </a:rPr>
            <a:t>Directions</a:t>
          </a:r>
          <a:r>
            <a:rPr lang="en-US" sz="1000">
              <a:solidFill>
                <a:schemeClr val="dk1"/>
              </a:solidFill>
              <a:latin typeface="+mn-lt"/>
              <a:ea typeface="+mn-ea"/>
              <a:cs typeface="+mn-cs"/>
            </a:rPr>
            <a:t>:  This</a:t>
          </a:r>
          <a:r>
            <a:rPr lang="en-US" sz="1000" baseline="0">
              <a:solidFill>
                <a:schemeClr val="dk1"/>
              </a:solidFill>
              <a:latin typeface="+mn-lt"/>
              <a:ea typeface="+mn-ea"/>
              <a:cs typeface="+mn-cs"/>
            </a:rPr>
            <a:t> sheet is used to compute the flowrate through the problem domain.  The calculations are based on one of the two head boundaries.  The code assumes that the boundary is horizontal so you should not select a vertical boundary.  If both boundaries are horizontal, you should pick the one with the largest number of cells.  These calculations should be performed after the head solution is found on the Main sheet.</a:t>
          </a:r>
          <a:endParaRPr lang="en-US" sz="1000">
            <a:solidFill>
              <a:schemeClr val="dk1"/>
            </a:solidFill>
            <a:latin typeface="+mn-lt"/>
            <a:ea typeface="+mn-ea"/>
            <a:cs typeface="+mn-cs"/>
          </a:endParaRPr>
        </a:p>
        <a:p>
          <a:endParaRPr lang="en-US" sz="1000"/>
        </a:p>
      </xdr:txBody>
    </xdr:sp>
    <xdr:clientData/>
  </xdr:twoCellAnchor>
  <mc:AlternateContent xmlns:mc="http://schemas.openxmlformats.org/markup-compatibility/2006">
    <mc:Choice xmlns:a14="http://schemas.microsoft.com/office/drawing/2010/main" Requires="a14">
      <xdr:twoCellAnchor editAs="oneCell">
        <xdr:from>
          <xdr:col>6</xdr:col>
          <xdr:colOff>19050</xdr:colOff>
          <xdr:row>2</xdr:row>
          <xdr:rowOff>76200</xdr:rowOff>
        </xdr:from>
        <xdr:to>
          <xdr:col>8</xdr:col>
          <xdr:colOff>28575</xdr:colOff>
          <xdr:row>4</xdr:row>
          <xdr:rowOff>38100</xdr:rowOff>
        </xdr:to>
        <xdr:sp macro="" textlink="">
          <xdr:nvSpPr>
            <xdr:cNvPr id="3073" name="cmdCalculateFlowRate" hidden="1">
              <a:extLst>
                <a:ext uri="{63B3BB69-23CF-44E3-9099-C40C66FF867C}">
                  <a14:compatExt spid="_x0000_s3073"/>
                </a:ext>
              </a:extLst>
            </xdr:cNvPr>
            <xdr:cNvSpPr/>
          </xdr:nvSpPr>
          <xdr:spPr>
            <a:xfrm>
              <a:off x="0" y="0"/>
              <a:ext cx="0" cy="0"/>
            </a:xfrm>
            <a:prstGeom prst="rect">
              <a:avLst/>
            </a:prstGeom>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3.emf"/></Relationships>
</file>

<file path=xl/worksheets/_rels/sheet2.xml.rels><?xml version="1.0" encoding="UTF-8" standalone="yes"?>
<Relationships xmlns="http://schemas.openxmlformats.org/package/2006/relationships"><Relationship Id="rId8" Type="http://schemas.openxmlformats.org/officeDocument/2006/relationships/control" Target="../activeX/activeX6.xml"/><Relationship Id="rId13" Type="http://schemas.openxmlformats.org/officeDocument/2006/relationships/image" Target="../media/image9.emf"/><Relationship Id="rId3" Type="http://schemas.openxmlformats.org/officeDocument/2006/relationships/vmlDrawing" Target="../drawings/vmlDrawing2.vml"/><Relationship Id="rId7" Type="http://schemas.openxmlformats.org/officeDocument/2006/relationships/image" Target="../media/image6.emf"/><Relationship Id="rId12" Type="http://schemas.openxmlformats.org/officeDocument/2006/relationships/control" Target="../activeX/activeX8.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ontrol" Target="../activeX/activeX5.xml"/><Relationship Id="rId11" Type="http://schemas.openxmlformats.org/officeDocument/2006/relationships/image" Target="../media/image8.emf"/><Relationship Id="rId5" Type="http://schemas.openxmlformats.org/officeDocument/2006/relationships/image" Target="../media/image5.wmf"/><Relationship Id="rId10" Type="http://schemas.openxmlformats.org/officeDocument/2006/relationships/control" Target="../activeX/activeX7.xml"/><Relationship Id="rId4" Type="http://schemas.openxmlformats.org/officeDocument/2006/relationships/oleObject" Target="../embeddings/oleObject1.bin"/><Relationship Id="rId9" Type="http://schemas.openxmlformats.org/officeDocument/2006/relationships/image" Target="../media/image7.emf"/></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image" Target="../media/image10.emf"/><Relationship Id="rId4" Type="http://schemas.openxmlformats.org/officeDocument/2006/relationships/control" Target="../activeX/activeX9.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AI37"/>
  <sheetViews>
    <sheetView showGridLines="0" tabSelected="1" zoomScaleNormal="100" workbookViewId="0">
      <selection activeCell="K41" sqref="K41"/>
    </sheetView>
  </sheetViews>
  <sheetFormatPr defaultRowHeight="12.75" x14ac:dyDescent="0.2"/>
  <cols>
    <col min="1" max="1" width="5.140625" style="2" customWidth="1"/>
    <col min="2" max="2" width="5.140625" style="9" customWidth="1"/>
    <col min="3" max="9" width="4.5703125" style="2" bestFit="1" customWidth="1"/>
    <col min="10" max="10" width="4.5703125" style="2" customWidth="1"/>
    <col min="11" max="15" width="4.5703125" style="2" bestFit="1" customWidth="1"/>
    <col min="16" max="32" width="4.5703125" style="2" customWidth="1"/>
    <col min="33" max="16384" width="9.140625" style="2"/>
  </cols>
  <sheetData>
    <row r="1" spans="1:32" ht="23.25" x14ac:dyDescent="0.35">
      <c r="A1" s="1" t="s">
        <v>1</v>
      </c>
      <c r="B1" s="7"/>
    </row>
    <row r="2" spans="1:32" x14ac:dyDescent="0.2">
      <c r="A2" s="3" t="s">
        <v>29</v>
      </c>
      <c r="B2" s="8"/>
    </row>
    <row r="3" spans="1:32" x14ac:dyDescent="0.2">
      <c r="A3" s="3"/>
      <c r="B3" s="8"/>
    </row>
    <row r="4" spans="1:32" x14ac:dyDescent="0.2">
      <c r="A4" s="3"/>
      <c r="B4" s="2"/>
      <c r="C4" s="4" t="s">
        <v>2</v>
      </c>
      <c r="D4" s="25"/>
      <c r="G4" s="4" t="s">
        <v>2</v>
      </c>
      <c r="H4" s="5">
        <v>80</v>
      </c>
      <c r="I4" s="2" t="str">
        <f>"[" &amp; lunit &amp; "]"</f>
        <v>[ft]</v>
      </c>
      <c r="L4" s="4" t="s">
        <v>7</v>
      </c>
      <c r="M4" s="5" t="s">
        <v>26</v>
      </c>
    </row>
    <row r="5" spans="1:32" x14ac:dyDescent="0.2">
      <c r="A5" s="3"/>
      <c r="B5" s="2"/>
      <c r="C5" s="4" t="s">
        <v>3</v>
      </c>
      <c r="D5" s="24"/>
      <c r="G5" s="4" t="s">
        <v>3</v>
      </c>
      <c r="H5" s="5">
        <v>60</v>
      </c>
      <c r="I5" s="2" t="str">
        <f>"[" &amp; lunit &amp; "]"</f>
        <v>[ft]</v>
      </c>
      <c r="L5" s="4" t="s">
        <v>8</v>
      </c>
      <c r="M5" s="5" t="s">
        <v>6</v>
      </c>
      <c r="Q5" s="4" t="s">
        <v>28</v>
      </c>
      <c r="R5" s="5">
        <v>20</v>
      </c>
    </row>
    <row r="6" spans="1:32" ht="13.5" thickBot="1" x14ac:dyDescent="0.25">
      <c r="A6" s="3"/>
      <c r="B6" s="2"/>
      <c r="C6" s="4" t="s">
        <v>4</v>
      </c>
      <c r="D6" s="26"/>
      <c r="G6" s="4" t="s">
        <v>9</v>
      </c>
      <c r="H6" s="5">
        <v>10</v>
      </c>
      <c r="I6" s="2" t="str">
        <f>"[" &amp; lunit &amp; "]"</f>
        <v>[ft]</v>
      </c>
      <c r="Q6" s="4" t="s">
        <v>27</v>
      </c>
      <c r="R6" s="45"/>
    </row>
    <row r="7" spans="1:32" x14ac:dyDescent="0.2">
      <c r="A7" s="3"/>
      <c r="B7" s="2"/>
      <c r="C7" s="4" t="s">
        <v>5</v>
      </c>
      <c r="D7" s="27"/>
      <c r="P7" s="44"/>
    </row>
    <row r="8" spans="1:32" x14ac:dyDescent="0.2">
      <c r="B8" s="2"/>
    </row>
    <row r="10" spans="1:32" x14ac:dyDescent="0.2">
      <c r="A10" s="32" t="s">
        <v>12</v>
      </c>
      <c r="B10" s="10">
        <f t="shared" ref="B10:B34" si="0">B11+cellsize</f>
        <v>250</v>
      </c>
      <c r="C10" s="28"/>
      <c r="D10" s="28"/>
      <c r="E10" s="28"/>
      <c r="F10" s="28"/>
      <c r="G10" s="28"/>
      <c r="H10" s="28"/>
      <c r="I10" s="28"/>
      <c r="J10" s="28"/>
      <c r="K10" s="28"/>
      <c r="L10" s="28"/>
      <c r="M10" s="28"/>
      <c r="N10" s="28"/>
      <c r="O10" s="28"/>
      <c r="P10" s="28"/>
      <c r="Q10" s="28"/>
      <c r="R10" s="28"/>
      <c r="S10" s="28"/>
      <c r="T10" s="28"/>
      <c r="U10" s="28"/>
      <c r="V10" s="28"/>
      <c r="W10" s="28"/>
      <c r="X10" s="28"/>
      <c r="Y10" s="28"/>
      <c r="Z10" s="28"/>
      <c r="AA10" s="28"/>
      <c r="AB10" s="28"/>
      <c r="AC10" s="28"/>
      <c r="AD10" s="28"/>
      <c r="AE10" s="28"/>
      <c r="AF10" s="28"/>
    </row>
    <row r="11" spans="1:32" x14ac:dyDescent="0.2">
      <c r="A11" s="33"/>
      <c r="B11" s="11">
        <f t="shared" si="0"/>
        <v>240</v>
      </c>
      <c r="C11" s="28"/>
      <c r="D11" s="28"/>
      <c r="E11" s="28"/>
      <c r="F11" s="28"/>
      <c r="G11" s="28"/>
      <c r="H11" s="28"/>
      <c r="I11" s="28"/>
      <c r="J11" s="28"/>
      <c r="K11" s="28"/>
      <c r="L11" s="28"/>
      <c r="M11" s="28"/>
      <c r="N11" s="28"/>
      <c r="O11" s="28"/>
      <c r="P11" s="28"/>
      <c r="Q11" s="28"/>
      <c r="R11" s="28"/>
      <c r="S11" s="28"/>
      <c r="T11" s="28"/>
      <c r="U11" s="28"/>
      <c r="V11" s="28"/>
      <c r="W11" s="28"/>
      <c r="X11" s="28"/>
      <c r="Y11" s="28"/>
      <c r="Z11" s="28"/>
      <c r="AA11" s="28"/>
      <c r="AB11" s="28"/>
      <c r="AC11" s="28"/>
      <c r="AD11" s="28"/>
      <c r="AE11" s="28"/>
      <c r="AF11" s="28"/>
    </row>
    <row r="12" spans="1:32" x14ac:dyDescent="0.2">
      <c r="A12" s="33"/>
      <c r="B12" s="11">
        <f t="shared" si="0"/>
        <v>230</v>
      </c>
      <c r="C12" s="28"/>
      <c r="D12" s="28"/>
      <c r="E12" s="28"/>
      <c r="F12" s="28"/>
      <c r="G12" s="28"/>
      <c r="H12" s="28"/>
      <c r="I12" s="28"/>
      <c r="J12" s="28"/>
      <c r="K12" s="28"/>
      <c r="L12" s="28"/>
      <c r="M12" s="28"/>
      <c r="N12" s="28"/>
      <c r="O12" s="28"/>
      <c r="P12" s="28"/>
      <c r="Q12" s="28"/>
      <c r="R12" s="28"/>
      <c r="S12" s="28"/>
      <c r="T12" s="28"/>
      <c r="U12" s="28"/>
      <c r="V12" s="28"/>
      <c r="W12" s="28"/>
      <c r="X12" s="28"/>
      <c r="Y12" s="28"/>
      <c r="Z12" s="28"/>
      <c r="AA12" s="28"/>
      <c r="AB12" s="28"/>
      <c r="AC12" s="28"/>
      <c r="AD12" s="28"/>
      <c r="AE12" s="28"/>
      <c r="AF12" s="28"/>
    </row>
    <row r="13" spans="1:32" x14ac:dyDescent="0.2">
      <c r="A13" s="33"/>
      <c r="B13" s="11">
        <f t="shared" si="0"/>
        <v>220</v>
      </c>
      <c r="C13" s="28"/>
      <c r="D13" s="28"/>
      <c r="E13" s="28"/>
      <c r="F13" s="28"/>
      <c r="G13" s="28"/>
      <c r="H13" s="28"/>
      <c r="I13" s="28"/>
      <c r="J13" s="28"/>
      <c r="K13" s="28"/>
      <c r="L13" s="28"/>
      <c r="M13" s="28"/>
      <c r="N13" s="28"/>
      <c r="O13" s="28"/>
      <c r="P13" s="28"/>
      <c r="Q13" s="28"/>
      <c r="R13" s="28"/>
      <c r="S13" s="28"/>
      <c r="T13" s="28"/>
      <c r="U13" s="28"/>
      <c r="V13" s="28"/>
      <c r="W13" s="28"/>
      <c r="X13" s="28"/>
      <c r="Y13" s="28"/>
      <c r="Z13" s="28"/>
      <c r="AA13" s="28"/>
      <c r="AB13" s="28"/>
      <c r="AC13" s="28"/>
      <c r="AD13" s="28"/>
      <c r="AE13" s="28"/>
      <c r="AF13" s="28"/>
    </row>
    <row r="14" spans="1:32" x14ac:dyDescent="0.2">
      <c r="A14" s="33"/>
      <c r="B14" s="11">
        <f t="shared" si="0"/>
        <v>210</v>
      </c>
      <c r="C14" s="28"/>
      <c r="D14" s="28"/>
      <c r="E14" s="28"/>
      <c r="F14" s="28"/>
      <c r="G14" s="28"/>
      <c r="H14" s="28"/>
      <c r="I14" s="28"/>
      <c r="J14" s="28"/>
      <c r="K14" s="28"/>
      <c r="L14" s="28"/>
      <c r="M14" s="28"/>
      <c r="N14" s="28"/>
      <c r="O14" s="28"/>
      <c r="P14" s="28"/>
      <c r="Q14" s="28"/>
      <c r="R14" s="28"/>
      <c r="S14" s="28"/>
      <c r="T14" s="28"/>
      <c r="U14" s="28"/>
      <c r="V14" s="28"/>
      <c r="W14" s="28"/>
      <c r="X14" s="28"/>
      <c r="Y14" s="28"/>
      <c r="Z14" s="28"/>
      <c r="AA14" s="28"/>
      <c r="AB14" s="28"/>
      <c r="AC14" s="28"/>
      <c r="AD14" s="28"/>
      <c r="AE14" s="28"/>
      <c r="AF14" s="28"/>
    </row>
    <row r="15" spans="1:32" x14ac:dyDescent="0.2">
      <c r="A15" s="33"/>
      <c r="B15" s="11">
        <f t="shared" si="0"/>
        <v>200</v>
      </c>
      <c r="C15" s="28"/>
      <c r="D15" s="28"/>
      <c r="E15" s="28"/>
      <c r="F15" s="28"/>
      <c r="G15" s="28"/>
      <c r="H15" s="28"/>
      <c r="I15" s="28"/>
      <c r="J15" s="28"/>
      <c r="K15" s="28"/>
      <c r="L15" s="28"/>
      <c r="M15" s="28"/>
      <c r="N15" s="28"/>
      <c r="O15" s="28"/>
      <c r="P15" s="28"/>
      <c r="Q15" s="28"/>
      <c r="R15" s="28"/>
      <c r="S15" s="28"/>
      <c r="T15" s="28"/>
      <c r="U15" s="28"/>
      <c r="V15" s="28"/>
      <c r="W15" s="28"/>
      <c r="X15" s="28"/>
      <c r="Y15" s="28"/>
      <c r="Z15" s="28"/>
      <c r="AA15" s="28"/>
      <c r="AB15" s="28"/>
      <c r="AC15" s="28"/>
      <c r="AD15" s="28"/>
      <c r="AE15" s="28"/>
      <c r="AF15" s="28"/>
    </row>
    <row r="16" spans="1:32" x14ac:dyDescent="0.2">
      <c r="A16" s="33"/>
      <c r="B16" s="11">
        <f t="shared" si="0"/>
        <v>190</v>
      </c>
      <c r="C16" s="28"/>
      <c r="D16" s="28"/>
      <c r="E16" s="28"/>
      <c r="F16" s="28"/>
      <c r="G16" s="28"/>
      <c r="H16" s="28"/>
      <c r="I16" s="28"/>
      <c r="J16" s="28"/>
      <c r="K16" s="28"/>
      <c r="L16" s="28"/>
      <c r="M16" s="28"/>
      <c r="N16" s="28"/>
      <c r="O16" s="28"/>
      <c r="P16" s="28"/>
      <c r="Q16" s="28"/>
      <c r="R16" s="28"/>
      <c r="S16" s="28"/>
      <c r="T16" s="28"/>
      <c r="U16" s="28"/>
      <c r="V16" s="28"/>
      <c r="W16" s="28"/>
      <c r="X16" s="28"/>
      <c r="Y16" s="28"/>
      <c r="Z16" s="28"/>
      <c r="AA16" s="28"/>
      <c r="AB16" s="28"/>
      <c r="AC16" s="28"/>
      <c r="AD16" s="28"/>
      <c r="AE16" s="28"/>
      <c r="AF16" s="28"/>
    </row>
    <row r="17" spans="1:35" x14ac:dyDescent="0.2">
      <c r="A17" s="33"/>
      <c r="B17" s="11">
        <f t="shared" si="0"/>
        <v>180</v>
      </c>
      <c r="C17" s="28"/>
      <c r="D17" s="28"/>
      <c r="E17" s="28"/>
      <c r="F17" s="28"/>
      <c r="G17" s="28"/>
      <c r="H17" s="28"/>
      <c r="I17" s="28"/>
      <c r="J17" s="28"/>
      <c r="K17" s="28"/>
      <c r="L17" s="28"/>
      <c r="M17" s="28"/>
      <c r="N17" s="28"/>
      <c r="O17" s="28"/>
      <c r="P17" s="28"/>
      <c r="Q17" s="28"/>
      <c r="R17" s="28"/>
      <c r="S17" s="28"/>
      <c r="T17" s="28"/>
      <c r="U17" s="28"/>
      <c r="V17" s="28"/>
      <c r="W17" s="28"/>
      <c r="X17" s="28"/>
      <c r="Y17" s="28"/>
      <c r="Z17" s="28"/>
      <c r="AA17" s="28"/>
      <c r="AB17" s="28"/>
      <c r="AC17" s="28"/>
      <c r="AD17" s="28"/>
      <c r="AE17" s="28"/>
      <c r="AF17" s="28"/>
    </row>
    <row r="18" spans="1:35" x14ac:dyDescent="0.2">
      <c r="A18" s="33"/>
      <c r="B18" s="11">
        <f t="shared" si="0"/>
        <v>170</v>
      </c>
      <c r="C18" s="28"/>
      <c r="D18" s="28"/>
      <c r="E18" s="28"/>
      <c r="F18" s="28"/>
      <c r="G18" s="25">
        <f>H_1</f>
        <v>80</v>
      </c>
      <c r="H18" s="25">
        <f>H_1</f>
        <v>80</v>
      </c>
      <c r="I18" s="25">
        <f>H_1</f>
        <v>80</v>
      </c>
      <c r="J18" s="25">
        <f>H_1</f>
        <v>80</v>
      </c>
      <c r="K18" s="25">
        <f>H_1</f>
        <v>80</v>
      </c>
      <c r="L18" s="25">
        <f>H_1</f>
        <v>80</v>
      </c>
      <c r="M18" s="25">
        <f>H_1</f>
        <v>80</v>
      </c>
      <c r="N18" s="25">
        <f>H_1</f>
        <v>80</v>
      </c>
      <c r="O18" s="29">
        <f ca="1">(O19 + 0.5*N18 + 0.5*P18)/2</f>
        <v>75.809176748322869</v>
      </c>
      <c r="P18" s="29">
        <f ca="1">(P19 + 0.5*O18 + 0.5*Q18)/2</f>
        <v>73.166337176302036</v>
      </c>
      <c r="Q18" s="29">
        <f ca="1">(Q19 + 0.5*P18 + 0.5*R18)/2</f>
        <v>71.015078071358531</v>
      </c>
      <c r="R18" s="29">
        <f ca="1">(R19 + 0.5*Q18 + 0.5*S18)/2</f>
        <v>68.984063879114814</v>
      </c>
      <c r="S18" s="29">
        <f ca="1">(S19 + 0.5*R18 + 0.5*T18)/2</f>
        <v>66.832903314908549</v>
      </c>
      <c r="T18" s="29">
        <f ca="1">(T19 + 0.5*S18 + 0.5*U18)/2</f>
        <v>64.19029998954997</v>
      </c>
      <c r="U18" s="24">
        <f>H_2</f>
        <v>60</v>
      </c>
      <c r="V18" s="24">
        <f>H_2</f>
        <v>60</v>
      </c>
      <c r="W18" s="24">
        <f>H_2</f>
        <v>60</v>
      </c>
      <c r="X18" s="24">
        <f>H_2</f>
        <v>60</v>
      </c>
      <c r="Y18" s="24">
        <f>H_2</f>
        <v>60</v>
      </c>
      <c r="Z18" s="24">
        <f>H_2</f>
        <v>60</v>
      </c>
      <c r="AA18" s="24">
        <f>H_2</f>
        <v>60</v>
      </c>
      <c r="AB18" s="24">
        <f>H_2</f>
        <v>60</v>
      </c>
      <c r="AC18" s="28"/>
      <c r="AD18" s="28"/>
      <c r="AE18" s="28"/>
      <c r="AF18" s="28"/>
      <c r="AI18" s="16"/>
    </row>
    <row r="19" spans="1:35" x14ac:dyDescent="0.2">
      <c r="A19" s="33"/>
      <c r="B19" s="11">
        <f t="shared" si="0"/>
        <v>160</v>
      </c>
      <c r="C19" s="28"/>
      <c r="D19" s="28"/>
      <c r="E19" s="28"/>
      <c r="F19" s="28"/>
      <c r="G19" s="29">
        <f ca="1">(0.5*G18 + 0.5*G20 + H19)/2</f>
        <v>79.12330812310914</v>
      </c>
      <c r="H19" s="29">
        <f ca="1">(H18 + H20 + G19 + I19)/4</f>
        <v>79.107728206594999</v>
      </c>
      <c r="I19" s="29">
        <f ca="1">(I18 + I20 + H19 + J19)/4</f>
        <v>79.058661097786924</v>
      </c>
      <c r="J19" s="29">
        <f ca="1">(J18 + J20 + I19 + K19)/4</f>
        <v>78.968035279974345</v>
      </c>
      <c r="K19" s="29">
        <f ca="1">(K18 + K20 + J19 + L19)/4</f>
        <v>78.817752379464991</v>
      </c>
      <c r="L19" s="29">
        <f ca="1">(L18 + L20 + K19 + M19)/4</f>
        <v>78.56777245602764</v>
      </c>
      <c r="M19" s="29">
        <f ca="1">(M18 + M20 + L19 + N19)/4</f>
        <v>78.121591339756435</v>
      </c>
      <c r="N19" s="29">
        <f ca="1">(N18 + N20 + M19 + O19)/4</f>
        <v>77.21617749274472</v>
      </c>
      <c r="O19" s="29">
        <f ca="1">(O18 + O20 + N19 + P19)/4</f>
        <v>75.035189576303651</v>
      </c>
      <c r="P19" s="29">
        <f ca="1">(P18 + P20 + O19 + Q19)/4</f>
        <v>72.920552521391244</v>
      </c>
      <c r="Q19" s="29">
        <f ca="1">(Q18 + Q20 + P19 + R19)/4</f>
        <v>70.954961515840353</v>
      </c>
      <c r="R19" s="29">
        <f ca="1">(R18 + R20 + Q19 + S19)/4</f>
        <v>69.044142721972236</v>
      </c>
      <c r="S19" s="29">
        <f ca="1">(S18 + S20 + R19 + T19)/4</f>
        <v>67.078629463570294</v>
      </c>
      <c r="T19" s="29">
        <f ca="1">(T18 + T20 + S19 + U19)/4</f>
        <v>64.9641512230519</v>
      </c>
      <c r="U19" s="29">
        <f ca="1">(U18 + U20 + T19 + V19)/4</f>
        <v>62.783384817444301</v>
      </c>
      <c r="V19" s="29">
        <f ca="1">(V18 + V20 + U19 + W19)/4</f>
        <v>61.878055625034563</v>
      </c>
      <c r="W19" s="29">
        <f ca="1">(W18 + W20 + V19 + X19)/4</f>
        <v>61.431912514168744</v>
      </c>
      <c r="X19" s="29">
        <f ca="1">(X18 + X20 + W19 + Y19)/4</f>
        <v>61.181952108122815</v>
      </c>
      <c r="Y19" s="29">
        <f ca="1">(Y18 + Y20 + X19 + Z19)/4</f>
        <v>61.031680137655961</v>
      </c>
      <c r="Z19" s="29">
        <f ca="1">(Z18 + Z20 + Y19 + AA19)/4</f>
        <v>60.941060571301456</v>
      </c>
      <c r="AA19" s="29">
        <f ca="1">(AA18 + AA20 + Z19 + AB19)/4</f>
        <v>60.89199671760732</v>
      </c>
      <c r="AB19" s="29">
        <f ca="1">(0.5*AB18 + 0.5*AB20 + AA19)/2</f>
        <v>60.876417780856983</v>
      </c>
      <c r="AC19" s="28"/>
      <c r="AD19" s="28"/>
      <c r="AE19" s="28"/>
      <c r="AF19" s="28"/>
    </row>
    <row r="20" spans="1:35" x14ac:dyDescent="0.2">
      <c r="A20" s="33"/>
      <c r="B20" s="11">
        <f t="shared" si="0"/>
        <v>150</v>
      </c>
      <c r="C20" s="28"/>
      <c r="D20" s="28"/>
      <c r="E20" s="28"/>
      <c r="F20" s="28"/>
      <c r="G20" s="29">
        <f ca="1">(0.5*G19 + 0.5*G21 + H20)/2</f>
        <v>78.277781140728678</v>
      </c>
      <c r="H20" s="29">
        <f ca="1">(H19 + H21 + G20 + I20)/4</f>
        <v>78.248947398222583</v>
      </c>
      <c r="I20" s="29">
        <f ca="1">(I19 + I21 + H20 + J20)/4</f>
        <v>78.158884736288144</v>
      </c>
      <c r="J20" s="29">
        <f ca="1">(J19 + J21 + I20 + K20)/4</f>
        <v>77.995731557064914</v>
      </c>
      <c r="K20" s="29">
        <f ca="1">(K19 + K21 + J20 + L20)/4</f>
        <v>77.735205849409866</v>
      </c>
      <c r="L20" s="29">
        <f ca="1">(L19 + L21 + K20 + M20)/4</f>
        <v>77.331750458094291</v>
      </c>
      <c r="M20" s="29">
        <f ca="1">(M19 + M21 + L20 + N20)/4</f>
        <v>76.702420340417717</v>
      </c>
      <c r="N20" s="29">
        <f ca="1">(N19 + N21 + M20 + O20)/4</f>
        <v>75.707935309599918</v>
      </c>
      <c r="O20" s="29">
        <f ca="1">(O19 + O21 + N20 + P20)/4</f>
        <v>74.194859008993063</v>
      </c>
      <c r="P20" s="29">
        <f ca="1">(P19 + P21 + O20 + Q20)/4</f>
        <v>72.52573003450533</v>
      </c>
      <c r="Q20" s="29">
        <f ca="1">(Q19 + Q21 + P20 + R20)/4</f>
        <v>70.840081163819463</v>
      </c>
      <c r="R20" s="29">
        <f ca="1">(R19 + R21 + Q20 + S20)/4</f>
        <v>69.158924063532083</v>
      </c>
      <c r="S20" s="29">
        <f ca="1">(S19 + S21 + R20 + T20)/4</f>
        <v>67.473327661792425</v>
      </c>
      <c r="T20" s="29">
        <f ca="1">(T19 + T21 + S20 + U20)/4</f>
        <v>65.804296257472529</v>
      </c>
      <c r="U20" s="29">
        <f ca="1">(U19 + U21 + T20 + V20)/4</f>
        <v>64.291337149474288</v>
      </c>
      <c r="V20" s="29">
        <f ca="1">(V19 + V21 + U20 + W20)/4</f>
        <v>63.29692937299702</v>
      </c>
      <c r="W20" s="29">
        <f ca="1">(W19 + W21 + V20 + X20)/4</f>
        <v>62.667646220663045</v>
      </c>
      <c r="X20" s="29">
        <f ca="1">(X19 + X21 + W20 + Y20)/4</f>
        <v>62.264219489186594</v>
      </c>
      <c r="Y20" s="29">
        <f ca="1">(Y19 + Y21 + X20 + Z20)/4</f>
        <v>62.003711459949145</v>
      </c>
      <c r="Z20" s="29">
        <f ca="1">(Z19 + Z21 + Y20 + AA20)/4</f>
        <v>61.840568942696699</v>
      </c>
      <c r="AA20" s="29">
        <f ca="1">(AA19 + AA21 + Z20 + AB20)/4</f>
        <v>61.750511986370483</v>
      </c>
      <c r="AB20" s="29">
        <f ca="1">(0.5*AB19 + 0.5*AB21 + AA20)/2</f>
        <v>61.721679975121006</v>
      </c>
      <c r="AC20" s="28"/>
      <c r="AD20" s="28"/>
      <c r="AE20" s="28"/>
      <c r="AF20" s="28"/>
    </row>
    <row r="21" spans="1:35" x14ac:dyDescent="0.2">
      <c r="A21" s="33"/>
      <c r="B21" s="11">
        <f t="shared" si="0"/>
        <v>140</v>
      </c>
      <c r="C21" s="28"/>
      <c r="D21" s="28"/>
      <c r="E21" s="28"/>
      <c r="F21" s="28"/>
      <c r="G21" s="29">
        <f ca="1">(0.5*G20 + 0.5*G22 + H21)/2</f>
        <v>77.489930329073346</v>
      </c>
      <c r="H21" s="29">
        <f ca="1">(H20 + H22 + G21 + I21)/4</f>
        <v>77.451401697846762</v>
      </c>
      <c r="I21" s="29">
        <f ca="1">(I20 + I22 + H21 + J21)/4</f>
        <v>77.332205135936348</v>
      </c>
      <c r="J21" s="29">
        <f ca="1">(J20 + J22 + I21 + K21)/4</f>
        <v>77.120806719545001</v>
      </c>
      <c r="K21" s="29">
        <f ca="1">(K20 + K22 + J21 + L21)/4</f>
        <v>76.795595555417094</v>
      </c>
      <c r="L21" s="29">
        <f ca="1">(L20 + L22 + K21 + M21)/4</f>
        <v>76.321610060289615</v>
      </c>
      <c r="M21" s="29">
        <f ca="1">(M20 + M22 + L21 + N21)/4</f>
        <v>75.648411642967062</v>
      </c>
      <c r="N21" s="29">
        <f ca="1">(N20 + N22 + M21 + O21)/4</f>
        <v>74.718292546643738</v>
      </c>
      <c r="O21" s="29">
        <f ca="1">(O20 + O22 + N21 + P21)/4</f>
        <v>73.510589987114543</v>
      </c>
      <c r="P21" s="29">
        <f ca="1">(P20 + P22 + O21 + Q21)/4</f>
        <v>72.147436781600575</v>
      </c>
      <c r="Q21" s="29">
        <f ca="1">(Q20 + Q22 + P21 + R21)/4</f>
        <v>70.720718488891976</v>
      </c>
      <c r="R21" s="29">
        <f ca="1">(R20 + R22 + Q21 + S21)/4</f>
        <v>69.278153880210311</v>
      </c>
      <c r="S21" s="29">
        <f ca="1">(S20 + S22 + R21 + T21)/4</f>
        <v>67.851469416435606</v>
      </c>
      <c r="T21" s="29">
        <f ca="1">(T20 + T22 + S21 + U21)/4</f>
        <v>66.48837673131284</v>
      </c>
      <c r="U21" s="29">
        <f ca="1">(U20 + U22 + T21 + V21)/4</f>
        <v>65.280745202792261</v>
      </c>
      <c r="V21" s="29">
        <f ca="1">(V20 + V22 + U21 + W21)/4</f>
        <v>64.350685056762501</v>
      </c>
      <c r="W21" s="29">
        <f ca="1">(W20 + W22 + V21 + X21)/4</f>
        <v>63.677529725577237</v>
      </c>
      <c r="X21" s="29">
        <f ca="1">(X20 + X22 + W21 + Y21)/4</f>
        <v>63.203574153603192</v>
      </c>
      <c r="Y21" s="29">
        <f ca="1">(Y20 + Y22 + X21 + Z21)/4</f>
        <v>62.878383096337075</v>
      </c>
      <c r="Z21" s="29">
        <f ca="1">(Z20 + Z22 + Y21 + AA21)/4</f>
        <v>62.666997473409232</v>
      </c>
      <c r="AA21" s="29">
        <f ca="1">(AA20 + AA22 + Z21 + AB21)/4</f>
        <v>62.54780796653364</v>
      </c>
      <c r="AB21" s="29">
        <f ca="1">(0.5*AB20 + 0.5*AB22 + AA21)/2</f>
        <v>62.509281491747942</v>
      </c>
      <c r="AC21" s="28"/>
      <c r="AD21" s="28"/>
      <c r="AE21" s="28"/>
      <c r="AF21" s="28"/>
    </row>
    <row r="22" spans="1:35" x14ac:dyDescent="0.2">
      <c r="A22" s="33"/>
      <c r="B22" s="11">
        <f t="shared" si="0"/>
        <v>130</v>
      </c>
      <c r="C22" s="28"/>
      <c r="D22" s="28"/>
      <c r="E22" s="28"/>
      <c r="F22" s="28"/>
      <c r="G22" s="29">
        <f ca="1">(0.5*G21 + 0.5*G23 + H22)/2</f>
        <v>76.779148846688415</v>
      </c>
      <c r="H22" s="29">
        <f ca="1">(H21 + H23 + G22 + I22)/4</f>
        <v>76.734532337026849</v>
      </c>
      <c r="I22" s="29">
        <f ca="1">(I21 + I23 + H22 + J22)/4</f>
        <v>76.597735856315524</v>
      </c>
      <c r="J22" s="29">
        <f ca="1">(J21 + J23 + I22 + K22)/4</f>
        <v>76.35970321219186</v>
      </c>
      <c r="K22" s="29">
        <f ca="1">(K21 + K23 + J22 + L22)/4</f>
        <v>76.004768364484306</v>
      </c>
      <c r="L22" s="29">
        <f ca="1">(L21 + L23 + K22 + M22)/4</f>
        <v>75.510691639030654</v>
      </c>
      <c r="M22" s="29">
        <f ca="1">(M21 + M23 + L22 + N22)/4</f>
        <v>74.851333068557778</v>
      </c>
      <c r="N22" s="29">
        <f ca="1">(N21 + N23 + M22 + O22)/4</f>
        <v>74.006243166247458</v>
      </c>
      <c r="O22" s="29">
        <f ca="1">(O21 + O23 + N22 + P22)/4</f>
        <v>72.981781967698993</v>
      </c>
      <c r="P22" s="29">
        <f ca="1">(P21 + P23 + O22 + Q22)/4</f>
        <v>71.832719251822652</v>
      </c>
      <c r="Q22" s="29">
        <f ca="1">(Q21 + Q23 + P22 + R22)/4</f>
        <v>70.617212816492213</v>
      </c>
      <c r="R22" s="29">
        <f ca="1">(R21 + R23 + Q22 + S22)/4</f>
        <v>69.38151404163078</v>
      </c>
      <c r="S22" s="29">
        <f ca="1">(S21 + S23 + R22 + T22)/4</f>
        <v>68.166029472354353</v>
      </c>
      <c r="T22" s="29">
        <f ca="1">(T21 + T23 + S22 + U22)/4</f>
        <v>67.017005601224952</v>
      </c>
      <c r="U22" s="29">
        <f ca="1">(U21 + U23 + T22 + V22)/4</f>
        <v>65.992590922443839</v>
      </c>
      <c r="V22" s="29">
        <f ca="1">(V21 + V23 + U22 + W22)/4</f>
        <v>65.147544556721783</v>
      </c>
      <c r="W22" s="29">
        <f ca="1">(W21 + W23 + V22 + X22)/4</f>
        <v>64.48822177848028</v>
      </c>
      <c r="X22" s="29">
        <f ca="1">(X21 + X23 + W22 + Y22)/4</f>
        <v>63.994172368153158</v>
      </c>
      <c r="Y22" s="29">
        <f ca="1">(Y21 + Y23 + X22 + Z22)/4</f>
        <v>63.639257186982782</v>
      </c>
      <c r="Z22" s="29">
        <f ca="1">(Z21 + Z23 + Y22 + AA22)/4</f>
        <v>63.401237654252327</v>
      </c>
      <c r="AA22" s="29">
        <f ca="1">(AA21 + AA23 + Z22 + AB22)/4</f>
        <v>63.26444860419118</v>
      </c>
      <c r="AB22" s="29">
        <f ca="1">(0.5*AB21 + 0.5*AB23 + AA22)/2</f>
        <v>63.219834373795692</v>
      </c>
      <c r="AC22" s="28"/>
      <c r="AD22" s="28"/>
      <c r="AE22" s="28"/>
      <c r="AF22" s="28"/>
    </row>
    <row r="23" spans="1:35" x14ac:dyDescent="0.2">
      <c r="A23" s="33"/>
      <c r="B23" s="11">
        <f t="shared" si="0"/>
        <v>120</v>
      </c>
      <c r="C23" s="28"/>
      <c r="D23" s="28"/>
      <c r="E23" s="28"/>
      <c r="F23" s="28"/>
      <c r="G23" s="29">
        <f ca="1">(0.5*G22 + 0.5*G24 + H23)/2</f>
        <v>76.157615520922263</v>
      </c>
      <c r="H23" s="29">
        <f ca="1">(H22 + H24 + G23 + I23)/4</f>
        <v>76.109853358597221</v>
      </c>
      <c r="I23" s="29">
        <f ca="1">(I22 + I24 + H23 + J23)/4</f>
        <v>75.964513200439725</v>
      </c>
      <c r="J23" s="29">
        <f ca="1">(J22 + J24 + I23 + K23)/4</f>
        <v>75.715512470772381</v>
      </c>
      <c r="K23" s="29">
        <f ca="1">(K22 + K24 + J23 + L23)/4</f>
        <v>75.353093774310395</v>
      </c>
      <c r="L23" s="29">
        <f ca="1">(L22 + L24 + K23 + M23)/4</f>
        <v>74.865066008824783</v>
      </c>
      <c r="M23" s="29">
        <f ca="1">(M22 + M24 + L23 + N23)/4</f>
        <v>74.239997051478326</v>
      </c>
      <c r="N23" s="29">
        <f ca="1">(N22 + N24 + M23 + O23)/4</f>
        <v>73.473576613752073</v>
      </c>
      <c r="O23" s="29">
        <f ca="1">(O22 + O24 + N23 + P23)/4</f>
        <v>72.577587264981219</v>
      </c>
      <c r="P23" s="29">
        <f ca="1">(P22 + P24 + O23 + Q23)/4</f>
        <v>71.584457402813939</v>
      </c>
      <c r="Q23" s="29">
        <f ca="1">(Q22 + Q24 + P23 + R23)/4</f>
        <v>70.533911456817975</v>
      </c>
      <c r="R23" s="29">
        <f ca="1">(R22 + R24 + Q23 + S23)/4</f>
        <v>69.464671820943849</v>
      </c>
      <c r="S23" s="29">
        <f ca="1">(S22 + S24 + R23 + T23)/4</f>
        <v>68.414140365954623</v>
      </c>
      <c r="T23" s="29">
        <f ca="1">(T22 + T24 + S23 + U23)/4</f>
        <v>67.421036445048927</v>
      </c>
      <c r="U23" s="29">
        <f ca="1">(U22 + U24 + T23 + V23)/4</f>
        <v>66.525079114974346</v>
      </c>
      <c r="V23" s="29">
        <f ca="1">(V22 + V24 + U23 + W23)/4</f>
        <v>65.758690910494835</v>
      </c>
      <c r="W23" s="29">
        <f ca="1">(W22 + W24 + V23 + X23)/4</f>
        <v>65.133650614961113</v>
      </c>
      <c r="X23" s="29">
        <f ca="1">(X22 + X24 + W23 + Y23)/4</f>
        <v>64.645646273006633</v>
      </c>
      <c r="Y23" s="29">
        <f ca="1">(Y22 + Y24 + X23 + Z23)/4</f>
        <v>64.283245370626346</v>
      </c>
      <c r="Z23" s="29">
        <f ca="1">(Z22 + Z24 + Y23 + AA23)/4</f>
        <v>64.034256964722303</v>
      </c>
      <c r="AA23" s="29">
        <f ca="1">(AA22 + AA24 + Z23 + AB23)/4</f>
        <v>63.888923950078095</v>
      </c>
      <c r="AB23" s="29">
        <f ca="1">(0.5*AB22 + 0.5*AB24 + AA23)/2</f>
        <v>63.841163974609273</v>
      </c>
      <c r="AC23" s="28"/>
      <c r="AD23" s="28"/>
      <c r="AE23" s="28"/>
      <c r="AF23" s="28"/>
    </row>
    <row r="24" spans="1:35" x14ac:dyDescent="0.2">
      <c r="A24" s="33"/>
      <c r="B24" s="11">
        <f t="shared" si="0"/>
        <v>110</v>
      </c>
      <c r="C24" s="28"/>
      <c r="D24" s="28"/>
      <c r="E24" s="28"/>
      <c r="F24" s="28"/>
      <c r="G24" s="29">
        <f ca="1">(0.5*G23 + 0.5*G25 + H24)/2</f>
        <v>75.63162436376669</v>
      </c>
      <c r="H24" s="29">
        <f ca="1">(H23 + H25 + G24 + I24)/4</f>
        <v>75.582764539802739</v>
      </c>
      <c r="I24" s="29">
        <f ca="1">(I23 + I25 + H24 + J24)/4</f>
        <v>75.43496331485855</v>
      </c>
      <c r="J24" s="29">
        <f ca="1">(J23 + J25 + I24 + K24)/4</f>
        <v>75.184751975022195</v>
      </c>
      <c r="K24" s="29">
        <f ca="1">(K23 + K25 + J24 + L24)/4</f>
        <v>74.827040656921724</v>
      </c>
      <c r="L24" s="29">
        <f ca="1">(L23 + L25 + K24 + M24)/4</f>
        <v>74.356494139951053</v>
      </c>
      <c r="M24" s="29">
        <f ca="1">(M23 + M25 + L24 + N24)/4</f>
        <v>73.770025278746033</v>
      </c>
      <c r="N24" s="29">
        <f ca="1">(N23 + N25 + M24 + O24)/4</f>
        <v>73.070491934325048</v>
      </c>
      <c r="O24" s="29">
        <f ca="1">(O23 + O25 + N24 + P24)/4</f>
        <v>72.270546200382611</v>
      </c>
      <c r="P24" s="29">
        <f ca="1">(P23 + P25 + O24 + Q24)/4</f>
        <v>71.393624850209278</v>
      </c>
      <c r="Q24" s="29">
        <f ca="1">(Q23 + Q25 + P24 + R24)/4</f>
        <v>70.469316985720099</v>
      </c>
      <c r="R24" s="29">
        <f ca="1">(R23 + R25 + Q24 + S24)/4</f>
        <v>69.529134495528979</v>
      </c>
      <c r="S24" s="29">
        <f ca="1">(S23 + S25 + R24 + T24)/4</f>
        <v>68.604836585254716</v>
      </c>
      <c r="T24" s="29">
        <f ca="1">(T23 + T25 + S24 + U24)/4</f>
        <v>67.727933280628974</v>
      </c>
      <c r="U24" s="29">
        <f ca="1">(U23 + U25 + T24 + V24)/4</f>
        <v>66.928010466985967</v>
      </c>
      <c r="V24" s="29">
        <f ca="1">(V23 + V25 + U24 + W24)/4</f>
        <v>66.228501354855581</v>
      </c>
      <c r="W24" s="29">
        <f ca="1">(W23 + W25 + V24 + X24)/4</f>
        <v>65.642055243030924</v>
      </c>
      <c r="X24" s="29">
        <f ca="1">(X23 + X25 + W24 + Y24)/4</f>
        <v>65.171528269003545</v>
      </c>
      <c r="Y24" s="29">
        <f ca="1">(Y23 + Y25 + X24 + Z24)/4</f>
        <v>64.81383241652037</v>
      </c>
      <c r="Z24" s="29">
        <f ca="1">(Z23 + Z25 + Y24 + AA24)/4</f>
        <v>64.5636321128368</v>
      </c>
      <c r="AA24" s="29">
        <f ca="1">(AA23 + AA25 + Z24 + AB24)/4</f>
        <v>64.415837396941441</v>
      </c>
      <c r="AB24" s="29">
        <f ca="1">(0.5*AB23 + 0.5*AB25 + AA24)/2</f>
        <v>64.36697954917652</v>
      </c>
      <c r="AC24" s="28"/>
      <c r="AD24" s="28"/>
      <c r="AE24" s="28"/>
      <c r="AF24" s="28"/>
    </row>
    <row r="25" spans="1:35" x14ac:dyDescent="0.2">
      <c r="A25" s="33"/>
      <c r="B25" s="11">
        <f t="shared" si="0"/>
        <v>100</v>
      </c>
      <c r="C25" s="28"/>
      <c r="D25" s="28"/>
      <c r="E25" s="28"/>
      <c r="F25" s="28"/>
      <c r="G25" s="29">
        <f ca="1">(0.5*G24 + 0.5*G26 + H25)/2</f>
        <v>75.203373000322756</v>
      </c>
      <c r="H25" s="29">
        <f ca="1">(H24 + H26 + G25 + I25)/4</f>
        <v>75.154630763857526</v>
      </c>
      <c r="I25" s="29">
        <f ca="1">(I24 + I26 + H25 + J25)/4</f>
        <v>75.007837205395646</v>
      </c>
      <c r="J25" s="29">
        <f ca="1">(J24 + J26 + I25 + K25)/4</f>
        <v>74.761505175618055</v>
      </c>
      <c r="K25" s="29">
        <f ca="1">(K24 + K26 + J25 + L25)/4</f>
        <v>74.413836547286991</v>
      </c>
      <c r="L25" s="29">
        <f ca="1">(L24 + L26 + K25 + M25)/4</f>
        <v>73.963858541851408</v>
      </c>
      <c r="M25" s="29">
        <f ca="1">(M24 + M26 + L25 + N25)/4</f>
        <v>73.413132047592711</v>
      </c>
      <c r="N25" s="29">
        <f ca="1">(N24 + N26 + M25 + O25)/4</f>
        <v>72.767833829070128</v>
      </c>
      <c r="O25" s="29">
        <f ca="1">(O24 + O26 + N25 + P25)/4</f>
        <v>72.040495032212704</v>
      </c>
      <c r="P25" s="29">
        <f ca="1">(P24 + P26 + O25 + Q25)/4</f>
        <v>71.250193132525339</v>
      </c>
      <c r="Q25" s="29">
        <f ca="1">(Q24 + Q26 + P25 + R25)/4</f>
        <v>70.420611429599631</v>
      </c>
      <c r="R25" s="29">
        <f ca="1">(R24 + R26 + Q25 + S25)/4</f>
        <v>69.577726772156325</v>
      </c>
      <c r="S25" s="29">
        <f ca="1">(S24 + S26 + R25 + T25)/4</f>
        <v>68.748152206774691</v>
      </c>
      <c r="T25" s="29">
        <f ca="1">(T24 + T26 + S25 + U25)/4</f>
        <v>67.957863412375872</v>
      </c>
      <c r="U25" s="29">
        <f ca="1">(U24 + U26 + T25 + V25)/4</f>
        <v>67.230541662350021</v>
      </c>
      <c r="V25" s="29">
        <f ca="1">(V24 + V26 + U25 + W25)/4</f>
        <v>66.585262102536163</v>
      </c>
      <c r="W25" s="29">
        <f ca="1">(W24 + W26 + V25 + X25)/4</f>
        <v>66.034553813164052</v>
      </c>
      <c r="X25" s="29">
        <f ca="1">(X24 + X26 + W25 + Y25)/4</f>
        <v>65.584592027179497</v>
      </c>
      <c r="Y25" s="29">
        <f ca="1">(Y24 + Y26 + X25 + Z25)/4</f>
        <v>65.236936634276901</v>
      </c>
      <c r="Z25" s="29">
        <f ca="1">(Z24 + Z26 + Y25 + AA25)/4</f>
        <v>64.990614266345361</v>
      </c>
      <c r="AA25" s="29">
        <f ca="1">(AA24 + AA26 + Z25 + AB25)/4</f>
        <v>64.843826477863004</v>
      </c>
      <c r="AB25" s="29">
        <f ca="1">(0.5*AB24 + 0.5*AB26 + AA25)/2</f>
        <v>64.795085968018697</v>
      </c>
      <c r="AC25" s="28"/>
      <c r="AD25" s="28"/>
      <c r="AE25" s="28"/>
      <c r="AF25" s="28"/>
    </row>
    <row r="26" spans="1:35" x14ac:dyDescent="0.2">
      <c r="A26" s="33"/>
      <c r="B26" s="11">
        <f t="shared" si="0"/>
        <v>90</v>
      </c>
      <c r="C26" s="28"/>
      <c r="D26" s="28"/>
      <c r="E26" s="28"/>
      <c r="F26" s="28"/>
      <c r="G26" s="29">
        <f ca="1">(0.5*G25 + 0.5*G27 + H26)/2</f>
        <v>74.872628121572205</v>
      </c>
      <c r="H26" s="29">
        <f ca="1">(H25 + H27 + G26 + I26)/4</f>
        <v>74.824563137110999</v>
      </c>
      <c r="I26" s="29">
        <f ca="1">(I25 + I27 + H26 + J26)/4</f>
        <v>74.68026439928164</v>
      </c>
      <c r="J26" s="29">
        <f ca="1">(J25 + J27 + I26 + K26)/4</f>
        <v>74.439609842845869</v>
      </c>
      <c r="K26" s="29">
        <f ca="1">(K25 + K27 + J26 + L26)/4</f>
        <v>74.102956745042533</v>
      </c>
      <c r="L26" s="29">
        <f ca="1">(L25 + L27 + K26 + M26)/4</f>
        <v>73.671986443261019</v>
      </c>
      <c r="M26" s="29">
        <f ca="1">(M25 + M27 + L26 + N26)/4</f>
        <v>73.150825638344315</v>
      </c>
      <c r="N26" s="29">
        <f ca="1">(N25 + N27 + M26 + O26)/4</f>
        <v>72.54723147796858</v>
      </c>
      <c r="O26" s="29">
        <f ca="1">(O25 + O27 + N26 + P26)/4</f>
        <v>71.873422194663533</v>
      </c>
      <c r="P26" s="29">
        <f ca="1">(P25 + P27 + O26 + Q26)/4</f>
        <v>71.146056455620823</v>
      </c>
      <c r="Q26" s="29">
        <f ca="1">(Q25 + Q27 + P26 + R26)/4</f>
        <v>70.38522402234625</v>
      </c>
      <c r="R26" s="29">
        <f ca="1">(R25 + R27 + Q26 + S26)/4</f>
        <v>69.613024052196735</v>
      </c>
      <c r="S26" s="29">
        <f ca="1">(S25 + S27 + R26 + T26)/4</f>
        <v>68.852197004120768</v>
      </c>
      <c r="T26" s="29">
        <f ca="1">(T25 + T27 + S26 + U26)/4</f>
        <v>68.124841261062784</v>
      </c>
      <c r="U26" s="29">
        <f ca="1">(U25 + U27 + T26 + V26)/4</f>
        <v>67.451045223124225</v>
      </c>
      <c r="V26" s="29">
        <f ca="1">(V25 + V27 + U26 + W26)/4</f>
        <v>66.847465925888301</v>
      </c>
      <c r="W26" s="29">
        <f ca="1">(W25 + W27 + V26 + X26)/4</f>
        <v>66.326320026229268</v>
      </c>
      <c r="X26" s="29">
        <f ca="1">(X25 + X27 + W26 + Y26)/4</f>
        <v>65.895363358376301</v>
      </c>
      <c r="Y26" s="29">
        <f ca="1">(Y25 + Y27 + X26 + Z26)/4</f>
        <v>65.558721639035241</v>
      </c>
      <c r="Z26" s="29">
        <f ca="1">(Z25 + Z27 + Y26 + AA26)/4</f>
        <v>65.318075528250446</v>
      </c>
      <c r="AA26" s="29">
        <f ca="1">(AA25 + AA27 + Z26 + AB26)/4</f>
        <v>65.173781875931724</v>
      </c>
      <c r="AB26" s="29">
        <f ca="1">(0.5*AB25 + 0.5*AB27 + AA26)/2</f>
        <v>65.125718384243655</v>
      </c>
      <c r="AC26" s="28"/>
      <c r="AD26" s="28"/>
      <c r="AE26" s="28"/>
      <c r="AF26" s="28"/>
    </row>
    <row r="27" spans="1:35" x14ac:dyDescent="0.2">
      <c r="A27" s="33"/>
      <c r="B27" s="11">
        <f t="shared" si="0"/>
        <v>80</v>
      </c>
      <c r="C27" s="28"/>
      <c r="D27" s="28"/>
      <c r="E27" s="28"/>
      <c r="F27" s="28"/>
      <c r="G27" s="29">
        <f ca="1">(0.5*G26 + 0.5*G28 + H27)/2</f>
        <v>74.638036631110324</v>
      </c>
      <c r="H27" s="29">
        <f ca="1">(H26 + H28 + G27 + I27)/4</f>
        <v>74.590744970251066</v>
      </c>
      <c r="I27" s="29">
        <f ca="1">(I26 + I28 + H27 + J27)/4</f>
        <v>74.449063111306046</v>
      </c>
      <c r="J27" s="29">
        <f ca="1">(J26 + J28 + I27 + K27)/4</f>
        <v>74.213728770532441</v>
      </c>
      <c r="K27" s="29">
        <f ca="1">(K26 + K28 + J27 + L27)/4</f>
        <v>73.886409906372705</v>
      </c>
      <c r="L27" s="29">
        <f ca="1">(L26 + L28 + K27 + M27)/4</f>
        <v>73.470320660934874</v>
      </c>
      <c r="M27" s="29">
        <f ca="1">(M26 + M28 + L27 + N27)/4</f>
        <v>72.970968453906124</v>
      </c>
      <c r="N27" s="29">
        <f ca="1">(N26 + N28 + M27 + O27)/4</f>
        <v>72.396860165765133</v>
      </c>
      <c r="O27" s="29">
        <f ca="1">(O26 + O28 + N27 + P27)/4</f>
        <v>71.759921752933593</v>
      </c>
      <c r="P27" s="29">
        <f ca="1">(P26 + P28 + O27 + Q27)/4</f>
        <v>71.075402403313618</v>
      </c>
      <c r="Q27" s="29">
        <f ca="1">(Q26 + Q28 + P27 + R27)/4</f>
        <v>70.361220031354847</v>
      </c>
      <c r="R27" s="29">
        <f ca="1">(R26 + R28 + Q27 + S27)/4</f>
        <v>69.636964195386781</v>
      </c>
      <c r="S27" s="29">
        <f ca="1">(S26 + S28 + R27 + T27)/4</f>
        <v>68.922786148308589</v>
      </c>
      <c r="T27" s="29">
        <f ca="1">(T26 + T28 + S27 + U27)/4</f>
        <v>68.238274892868603</v>
      </c>
      <c r="U27" s="29">
        <f ca="1">(U26 + U28 + T27 + V27)/4</f>
        <v>67.601347349445362</v>
      </c>
      <c r="V27" s="29">
        <f ca="1">(V26 + V28 + U27 + W27)/4</f>
        <v>67.027251470052093</v>
      </c>
      <c r="W27" s="29">
        <f ca="1">(W26 + W28 + V27 + X27)/4</f>
        <v>66.527911943421614</v>
      </c>
      <c r="X27" s="29">
        <f ca="1">(X26 + X28 + W27 + Y27)/4</f>
        <v>66.111834509054376</v>
      </c>
      <c r="Y27" s="29">
        <f ca="1">(Y26 + Y28 + X27 + Z27)/4</f>
        <v>65.784525656526768</v>
      </c>
      <c r="Z27" s="29">
        <f ca="1">(Z26 + Z28 + Y27 + AA27)/4</f>
        <v>65.549198832036723</v>
      </c>
      <c r="AA27" s="29">
        <f ca="1">(AA26 + AA28 + Z27 + AB27)/4</f>
        <v>65.407521521195733</v>
      </c>
      <c r="AB27" s="29">
        <f ca="1">(0.5*AB26 + 0.5*AB28 + AA27)/2</f>
        <v>65.360231168177279</v>
      </c>
      <c r="AC27" s="28"/>
      <c r="AD27" s="28"/>
      <c r="AE27" s="28"/>
      <c r="AF27" s="28"/>
    </row>
    <row r="28" spans="1:35" x14ac:dyDescent="0.2">
      <c r="A28" s="33"/>
      <c r="B28" s="11">
        <f t="shared" si="0"/>
        <v>70</v>
      </c>
      <c r="C28" s="28"/>
      <c r="D28" s="28"/>
      <c r="E28" s="28"/>
      <c r="F28" s="28"/>
      <c r="G28" s="29">
        <f ca="1">(0.5*G27 + 0.5*G29 + H28)/2</f>
        <v>74.498052815949364</v>
      </c>
      <c r="H28" s="29">
        <f ca="1">(H27 + H29 + G28 + I28)/4</f>
        <v>74.451333272587732</v>
      </c>
      <c r="I28" s="29">
        <f ca="1">(I27 + I29 + H28 + J28)/4</f>
        <v>74.311530561022821</v>
      </c>
      <c r="J28" s="29">
        <f ca="1">(J27 + J29 + I28 + K28)/4</f>
        <v>74.079848485707601</v>
      </c>
      <c r="K28" s="29">
        <f ca="1">(K27 + K29 + J28 + L28)/4</f>
        <v>73.758649739097393</v>
      </c>
      <c r="L28" s="29">
        <f ca="1">(L27 + L29 + K28 + M28)/4</f>
        <v>73.351934166496221</v>
      </c>
      <c r="M28" s="29">
        <f ca="1">(M27 + M29 + L28 + N28)/4</f>
        <v>72.865883713915167</v>
      </c>
      <c r="N28" s="29">
        <f ca="1">(N27 + N29 + M28 + O28)/4</f>
        <v>72.309335369085915</v>
      </c>
      <c r="O28" s="29">
        <f ca="1">(O27 + O29 + N28 + P28)/4</f>
        <v>71.694018646421711</v>
      </c>
      <c r="P28" s="29">
        <f ca="1">(P27 + P29 + O28 + Q28)/4</f>
        <v>71.034427750667632</v>
      </c>
      <c r="Q28" s="29">
        <f ca="1">(Q27 + Q29 + P28 + R28)/4</f>
        <v>70.347305826184993</v>
      </c>
      <c r="R28" s="29">
        <f ca="1">(R27 + R29 + Q28 + S28)/4</f>
        <v>69.650842780061708</v>
      </c>
      <c r="S28" s="29">
        <f ca="1">(S27 + S29 + R28 + T28)/4</f>
        <v>68.96372460679396</v>
      </c>
      <c r="T28" s="29">
        <f ca="1">(T27 + T29 + S28 + U28)/4</f>
        <v>68.30414076791736</v>
      </c>
      <c r="U28" s="29">
        <f ca="1">(U27 + U29 + T28 + V28)/4</f>
        <v>67.688833599378555</v>
      </c>
      <c r="V28" s="29">
        <f ca="1">(V27 + V29 + U28 + W28)/4</f>
        <v>67.132296274779634</v>
      </c>
      <c r="W28" s="29">
        <f ca="1">(W27 + W29 + V28 + X28)/4</f>
        <v>66.646257210469258</v>
      </c>
      <c r="X28" s="29">
        <f ca="1">(X27 + X29 + W28 + Y28)/4</f>
        <v>66.239552360354452</v>
      </c>
      <c r="Y28" s="29">
        <f ca="1">(Y27 + Y29 + X28 + Z28)/4</f>
        <v>65.918362786975365</v>
      </c>
      <c r="Z28" s="29">
        <f ca="1">(Z27 + Z29 + Y28 + AA28)/4</f>
        <v>65.686687644630524</v>
      </c>
      <c r="AA28" s="29">
        <f ca="1">(AA27 + AA29 + Z28 + AB28)/4</f>
        <v>65.546889138412013</v>
      </c>
      <c r="AB28" s="29">
        <f ca="1">(0.5*AB27 + 0.5*AB29 + AA28)/2</f>
        <v>65.500170784728056</v>
      </c>
      <c r="AC28" s="28"/>
      <c r="AD28" s="28"/>
      <c r="AE28" s="28"/>
      <c r="AF28" s="28"/>
    </row>
    <row r="29" spans="1:35" x14ac:dyDescent="0.2">
      <c r="A29" s="33"/>
      <c r="B29" s="11">
        <f t="shared" si="0"/>
        <v>60</v>
      </c>
      <c r="C29" s="28"/>
      <c r="D29" s="28"/>
      <c r="E29" s="28"/>
      <c r="F29" s="28"/>
      <c r="G29" s="29">
        <f ca="1">(0.5*G28 + 0.5*H29)</f>
        <v>74.451532893919435</v>
      </c>
      <c r="H29" s="29">
        <f ca="1">(H28 + 0.5*G29 + 0.5*I29)/2</f>
        <v>74.405021259783553</v>
      </c>
      <c r="I29" s="29">
        <f ca="1">(I28 + 0.5*H29 + 0.5*J29)/2</f>
        <v>74.265893871579607</v>
      </c>
      <c r="J29" s="29">
        <f ca="1">(J28 + 0.5*I29 + 0.5*K29)/2</f>
        <v>74.035501371643562</v>
      </c>
      <c r="K29" s="29">
        <f ca="1">(K28 + 0.5*J29 + 0.5*L29)/2</f>
        <v>73.716422915922308</v>
      </c>
      <c r="L29" s="29">
        <f ca="1">(L28 + 0.5*K29 + 0.5*M29)/2</f>
        <v>73.312899097707259</v>
      </c>
      <c r="M29" s="29">
        <f ca="1">(M28 + 0.5*L29 + 0.5*N29)/2</f>
        <v>72.83131343960315</v>
      </c>
      <c r="N29" s="29">
        <f ca="1">(N28 + 0.5*M29 + 0.5*O29)/2</f>
        <v>72.280595542182724</v>
      </c>
      <c r="O29" s="29">
        <f ca="1">(O28 + 0.5*N29 + 0.5*P29)/2</f>
        <v>71.67240630500747</v>
      </c>
      <c r="P29" s="29">
        <f ca="1">(P28 + 0.5*O29 + 0.5*Q29)/2</f>
        <v>71.021000692685533</v>
      </c>
      <c r="Q29" s="29">
        <f ca="1">(Q28 + 0.5*P29 + 0.5*R29)/2</f>
        <v>70.342749251396626</v>
      </c>
      <c r="R29" s="29">
        <f ca="1">(R28 + 0.5*Q29 + 0.5*S29)/2</f>
        <v>69.655392910891194</v>
      </c>
      <c r="S29" s="29">
        <f ca="1">(S28 + 0.5*R29 + 0.5*T29)/2</f>
        <v>68.977145030027572</v>
      </c>
      <c r="T29" s="29">
        <f ca="1">(T28 + 0.5*S29 + 0.5*U29)/2</f>
        <v>68.325746127517448</v>
      </c>
      <c r="U29" s="29">
        <f ca="1">(U28 + 0.5*T29 + 0.5*V29)/2</f>
        <v>67.717565999751031</v>
      </c>
      <c r="V29" s="29">
        <f ca="1">(V28 + 0.5*U29 + 0.5*W29)/2</f>
        <v>67.166858646038065</v>
      </c>
      <c r="W29" s="29">
        <f ca="1">(W28 + 0.5*V29 + 0.5*X29)/2</f>
        <v>66.685283924630809</v>
      </c>
      <c r="X29" s="29">
        <f ca="1">(X28 + 0.5*W29 + 0.5*Y29)/2</f>
        <v>66.281770440857869</v>
      </c>
      <c r="Y29" s="29">
        <f ca="1">(Y28 + 0.5*X29 + 0.5*Z29)/2</f>
        <v>65.962700853649153</v>
      </c>
      <c r="Z29" s="29">
        <f ca="1">(Z28 + 0.5*Y29 + 0.5*AA29)/2</f>
        <v>65.732315071164507</v>
      </c>
      <c r="AA29" s="29">
        <f ca="1">(AA28 + 0.5*Z29 + 0.5*AB29)/2</f>
        <v>65.593191760474866</v>
      </c>
      <c r="AB29" s="29">
        <f ca="1">(0.5*AB28 + 0.5*AA29)</f>
        <v>65.546681272601461</v>
      </c>
      <c r="AC29" s="28"/>
      <c r="AD29" s="28"/>
      <c r="AE29" s="28"/>
      <c r="AF29" s="28"/>
    </row>
    <row r="30" spans="1:35" x14ac:dyDescent="0.2">
      <c r="A30" s="33"/>
      <c r="B30" s="11">
        <f t="shared" si="0"/>
        <v>50</v>
      </c>
      <c r="C30" s="28"/>
      <c r="D30" s="28"/>
      <c r="E30" s="28"/>
      <c r="F30" s="28"/>
      <c r="G30" s="28"/>
      <c r="H30" s="28"/>
      <c r="I30" s="28"/>
      <c r="J30" s="28"/>
      <c r="K30" s="28"/>
      <c r="L30" s="28"/>
      <c r="M30" s="28"/>
      <c r="N30" s="28"/>
      <c r="O30" s="28"/>
      <c r="P30" s="28"/>
      <c r="Q30" s="28"/>
      <c r="R30" s="28"/>
      <c r="S30" s="28"/>
      <c r="T30" s="28"/>
      <c r="U30" s="28"/>
      <c r="V30" s="28"/>
      <c r="W30" s="28"/>
      <c r="X30" s="28"/>
      <c r="Y30" s="28"/>
      <c r="Z30" s="28"/>
      <c r="AA30" s="28"/>
      <c r="AB30" s="28"/>
      <c r="AC30" s="28"/>
      <c r="AD30" s="28"/>
      <c r="AE30" s="28"/>
      <c r="AF30" s="28"/>
    </row>
    <row r="31" spans="1:35" x14ac:dyDescent="0.2">
      <c r="A31" s="33"/>
      <c r="B31" s="11">
        <f t="shared" si="0"/>
        <v>40</v>
      </c>
      <c r="C31" s="28"/>
      <c r="D31" s="28"/>
      <c r="E31" s="28"/>
      <c r="F31" s="28"/>
      <c r="G31" s="28"/>
      <c r="H31" s="28"/>
      <c r="I31" s="28"/>
      <c r="J31" s="28"/>
      <c r="K31" s="28"/>
      <c r="L31" s="28"/>
      <c r="M31" s="28"/>
      <c r="N31" s="28"/>
      <c r="O31" s="28"/>
      <c r="P31" s="28"/>
      <c r="Q31" s="28"/>
      <c r="R31" s="28"/>
      <c r="S31" s="28"/>
      <c r="T31" s="28"/>
      <c r="U31" s="28"/>
      <c r="V31" s="28"/>
      <c r="W31" s="28"/>
      <c r="X31" s="28"/>
      <c r="Y31" s="28"/>
      <c r="Z31" s="28"/>
      <c r="AA31" s="28"/>
      <c r="AB31" s="28"/>
      <c r="AC31" s="28"/>
      <c r="AD31" s="28"/>
      <c r="AE31" s="28"/>
      <c r="AF31" s="28"/>
    </row>
    <row r="32" spans="1:35" x14ac:dyDescent="0.2">
      <c r="A32" s="33"/>
      <c r="B32" s="11">
        <f t="shared" si="0"/>
        <v>30</v>
      </c>
      <c r="C32" s="28"/>
      <c r="D32" s="28"/>
      <c r="E32" s="28"/>
      <c r="F32" s="28"/>
      <c r="G32" s="28"/>
      <c r="H32" s="28"/>
      <c r="I32" s="28"/>
      <c r="J32" s="28"/>
      <c r="K32" s="28"/>
      <c r="L32" s="28"/>
      <c r="M32" s="28"/>
      <c r="N32" s="28"/>
      <c r="O32" s="28"/>
      <c r="P32" s="28"/>
      <c r="Q32" s="28"/>
      <c r="R32" s="28"/>
      <c r="S32" s="28"/>
      <c r="T32" s="28"/>
      <c r="U32" s="28"/>
      <c r="V32" s="28"/>
      <c r="W32" s="28"/>
      <c r="X32" s="28"/>
      <c r="Y32" s="28"/>
      <c r="Z32" s="28"/>
      <c r="AA32" s="28"/>
      <c r="AB32" s="28"/>
      <c r="AC32" s="28"/>
      <c r="AD32" s="28"/>
      <c r="AE32" s="28"/>
      <c r="AF32" s="28"/>
    </row>
    <row r="33" spans="1:32" x14ac:dyDescent="0.2">
      <c r="A33" s="33"/>
      <c r="B33" s="11">
        <f t="shared" si="0"/>
        <v>20</v>
      </c>
      <c r="C33" s="28"/>
      <c r="D33" s="28"/>
      <c r="E33" s="28"/>
      <c r="F33" s="28"/>
      <c r="G33" s="28"/>
      <c r="H33" s="28"/>
      <c r="I33" s="28"/>
      <c r="J33" s="28"/>
      <c r="K33" s="28"/>
      <c r="L33" s="28"/>
      <c r="M33" s="28"/>
      <c r="N33" s="28"/>
      <c r="O33" s="28"/>
      <c r="P33" s="28"/>
      <c r="Q33" s="28"/>
      <c r="R33" s="28"/>
      <c r="S33" s="28"/>
      <c r="T33" s="28"/>
      <c r="U33" s="28"/>
      <c r="V33" s="28"/>
      <c r="W33" s="28"/>
      <c r="X33" s="28"/>
      <c r="Y33" s="28"/>
      <c r="Z33" s="28"/>
      <c r="AA33" s="28"/>
      <c r="AB33" s="28"/>
      <c r="AC33" s="28"/>
      <c r="AD33" s="28"/>
      <c r="AE33" s="28"/>
      <c r="AF33" s="28"/>
    </row>
    <row r="34" spans="1:32" x14ac:dyDescent="0.2">
      <c r="A34" s="33"/>
      <c r="B34" s="11">
        <f t="shared" si="0"/>
        <v>10</v>
      </c>
      <c r="C34" s="28"/>
      <c r="D34" s="28"/>
      <c r="E34" s="28"/>
      <c r="F34" s="28"/>
      <c r="G34" s="28"/>
      <c r="H34" s="28"/>
      <c r="I34" s="28"/>
      <c r="J34" s="28"/>
      <c r="K34" s="28"/>
      <c r="L34" s="28"/>
      <c r="M34" s="28"/>
      <c r="N34" s="28"/>
      <c r="O34" s="28"/>
      <c r="P34" s="28"/>
      <c r="Q34" s="28"/>
      <c r="R34" s="28"/>
      <c r="S34" s="28"/>
      <c r="T34" s="28"/>
      <c r="U34" s="28"/>
      <c r="V34" s="28"/>
      <c r="W34" s="28"/>
      <c r="X34" s="28"/>
      <c r="Y34" s="28"/>
      <c r="Z34" s="28"/>
      <c r="AA34" s="28"/>
      <c r="AB34" s="28"/>
      <c r="AC34" s="28"/>
      <c r="AD34" s="28"/>
      <c r="AE34" s="28"/>
      <c r="AF34" s="28"/>
    </row>
    <row r="35" spans="1:32" x14ac:dyDescent="0.2">
      <c r="A35" s="34"/>
      <c r="B35" s="12">
        <v>0</v>
      </c>
      <c r="C35" s="28"/>
      <c r="D35" s="28"/>
      <c r="E35" s="28"/>
      <c r="F35" s="28"/>
      <c r="G35" s="28"/>
      <c r="H35" s="28"/>
      <c r="I35" s="28"/>
      <c r="J35" s="28"/>
      <c r="K35" s="28"/>
      <c r="L35" s="28"/>
      <c r="M35" s="28"/>
      <c r="N35" s="28"/>
      <c r="O35" s="28"/>
      <c r="P35" s="28"/>
      <c r="Q35" s="28"/>
      <c r="R35" s="28"/>
      <c r="S35" s="28"/>
      <c r="T35" s="28"/>
      <c r="U35" s="28"/>
      <c r="V35" s="28"/>
      <c r="W35" s="28"/>
      <c r="X35" s="28"/>
      <c r="Y35" s="28"/>
      <c r="Z35" s="28"/>
      <c r="AA35" s="28"/>
      <c r="AB35" s="28"/>
      <c r="AC35" s="28"/>
      <c r="AD35" s="28"/>
      <c r="AE35" s="28"/>
      <c r="AF35" s="28"/>
    </row>
    <row r="36" spans="1:32" x14ac:dyDescent="0.2">
      <c r="C36" s="6">
        <v>0</v>
      </c>
      <c r="D36" s="13">
        <f t="shared" ref="D36:AF36" si="1">C36+cellsize</f>
        <v>10</v>
      </c>
      <c r="E36" s="13">
        <f t="shared" si="1"/>
        <v>20</v>
      </c>
      <c r="F36" s="13">
        <f t="shared" si="1"/>
        <v>30</v>
      </c>
      <c r="G36" s="13">
        <f t="shared" si="1"/>
        <v>40</v>
      </c>
      <c r="H36" s="13">
        <f t="shared" si="1"/>
        <v>50</v>
      </c>
      <c r="I36" s="13">
        <f t="shared" si="1"/>
        <v>60</v>
      </c>
      <c r="J36" s="13">
        <f t="shared" si="1"/>
        <v>70</v>
      </c>
      <c r="K36" s="13">
        <f t="shared" si="1"/>
        <v>80</v>
      </c>
      <c r="L36" s="13">
        <f t="shared" si="1"/>
        <v>90</v>
      </c>
      <c r="M36" s="13">
        <f t="shared" si="1"/>
        <v>100</v>
      </c>
      <c r="N36" s="13">
        <f t="shared" si="1"/>
        <v>110</v>
      </c>
      <c r="O36" s="13">
        <f t="shared" si="1"/>
        <v>120</v>
      </c>
      <c r="P36" s="13">
        <f t="shared" si="1"/>
        <v>130</v>
      </c>
      <c r="Q36" s="13">
        <f t="shared" si="1"/>
        <v>140</v>
      </c>
      <c r="R36" s="13">
        <f t="shared" si="1"/>
        <v>150</v>
      </c>
      <c r="S36" s="13">
        <f t="shared" si="1"/>
        <v>160</v>
      </c>
      <c r="T36" s="13">
        <f t="shared" si="1"/>
        <v>170</v>
      </c>
      <c r="U36" s="13">
        <f t="shared" si="1"/>
        <v>180</v>
      </c>
      <c r="V36" s="13">
        <f t="shared" si="1"/>
        <v>190</v>
      </c>
      <c r="W36" s="13">
        <f t="shared" si="1"/>
        <v>200</v>
      </c>
      <c r="X36" s="13">
        <f t="shared" si="1"/>
        <v>210</v>
      </c>
      <c r="Y36" s="13">
        <f t="shared" si="1"/>
        <v>220</v>
      </c>
      <c r="Z36" s="13">
        <f t="shared" si="1"/>
        <v>230</v>
      </c>
      <c r="AA36" s="13">
        <f t="shared" si="1"/>
        <v>240</v>
      </c>
      <c r="AB36" s="13">
        <f t="shared" si="1"/>
        <v>250</v>
      </c>
      <c r="AC36" s="13">
        <f t="shared" si="1"/>
        <v>260</v>
      </c>
      <c r="AD36" s="13">
        <f t="shared" si="1"/>
        <v>270</v>
      </c>
      <c r="AE36" s="13">
        <f t="shared" si="1"/>
        <v>280</v>
      </c>
      <c r="AF36" s="14">
        <f t="shared" si="1"/>
        <v>290</v>
      </c>
    </row>
    <row r="37" spans="1:32" ht="26.25" x14ac:dyDescent="0.4">
      <c r="C37" s="35" t="s">
        <v>13</v>
      </c>
      <c r="D37" s="36"/>
      <c r="E37" s="36"/>
      <c r="F37" s="36"/>
      <c r="G37" s="36"/>
      <c r="H37" s="36"/>
      <c r="I37" s="36"/>
      <c r="J37" s="36"/>
      <c r="K37" s="36"/>
      <c r="L37" s="36"/>
      <c r="M37" s="36"/>
      <c r="N37" s="36"/>
      <c r="O37" s="36"/>
      <c r="P37" s="36"/>
      <c r="Q37" s="36"/>
      <c r="R37" s="36"/>
      <c r="S37" s="36"/>
      <c r="T37" s="36"/>
      <c r="U37" s="36"/>
      <c r="V37" s="36"/>
      <c r="W37" s="36"/>
      <c r="X37" s="36"/>
      <c r="Y37" s="36"/>
      <c r="Z37" s="36"/>
      <c r="AA37" s="36"/>
      <c r="AB37" s="36"/>
      <c r="AC37" s="36"/>
      <c r="AD37" s="36"/>
      <c r="AE37" s="36"/>
      <c r="AF37" s="37"/>
    </row>
  </sheetData>
  <mergeCells count="2">
    <mergeCell ref="A10:A35"/>
    <mergeCell ref="C37:AF37"/>
  </mergeCells>
  <phoneticPr fontId="1" type="noConversion"/>
  <pageMargins left="0.75" right="0.75" top="1" bottom="1" header="0.5" footer="0.5"/>
  <pageSetup orientation="portrait" r:id="rId1"/>
  <headerFooter alignWithMargins="0"/>
  <drawing r:id="rId2"/>
  <legacyDrawing r:id="rId3"/>
  <controls>
    <mc:AlternateContent xmlns:mc="http://schemas.openxmlformats.org/markup-compatibility/2006">
      <mc:Choice Requires="x14">
        <control shapeId="5866" r:id="rId4" name="cmdRedrawArrows">
          <controlPr defaultSize="0" disabled="1" autoLine="0" r:id="rId5">
            <anchor moveWithCells="1">
              <from>
                <xdr:col>14</xdr:col>
                <xdr:colOff>238125</xdr:colOff>
                <xdr:row>6</xdr:row>
                <xdr:rowOff>76200</xdr:rowOff>
              </from>
              <to>
                <xdr:col>18</xdr:col>
                <xdr:colOff>19050</xdr:colOff>
                <xdr:row>8</xdr:row>
                <xdr:rowOff>0</xdr:rowOff>
              </to>
            </anchor>
          </controlPr>
        </control>
      </mc:Choice>
      <mc:Fallback>
        <control shapeId="1075" r:id="rId4" name="cmdRedrawArrows"/>
      </mc:Fallback>
    </mc:AlternateContent>
    <mc:AlternateContent xmlns:mc="http://schemas.openxmlformats.org/markup-compatibility/2006">
      <mc:Choice Requires="x14">
        <control shapeId="1073" r:id="rId6" name="chkColorShade">
          <controlPr defaultSize="0" autoLine="0" r:id="rId7">
            <anchor moveWithCells="1">
              <from>
                <xdr:col>13</xdr:col>
                <xdr:colOff>266700</xdr:colOff>
                <xdr:row>1</xdr:row>
                <xdr:rowOff>0</xdr:rowOff>
              </from>
              <to>
                <xdr:col>18</xdr:col>
                <xdr:colOff>257175</xdr:colOff>
                <xdr:row>2</xdr:row>
                <xdr:rowOff>85725</xdr:rowOff>
              </to>
            </anchor>
          </controlPr>
        </control>
      </mc:Choice>
      <mc:Fallback>
        <control shapeId="1073" r:id="rId6" name="chkColorShade"/>
      </mc:Fallback>
    </mc:AlternateContent>
    <mc:AlternateContent xmlns:mc="http://schemas.openxmlformats.org/markup-compatibility/2006">
      <mc:Choice Requires="x14">
        <control shapeId="1072" r:id="rId8" name="cmdBuildEquations">
          <controlPr defaultSize="0" autoLine="0" r:id="rId9">
            <anchor moveWithCells="1">
              <from>
                <xdr:col>9</xdr:col>
                <xdr:colOff>171450</xdr:colOff>
                <xdr:row>6</xdr:row>
                <xdr:rowOff>47625</xdr:rowOff>
              </from>
              <to>
                <xdr:col>13</xdr:col>
                <xdr:colOff>0</xdr:colOff>
                <xdr:row>8</xdr:row>
                <xdr:rowOff>19050</xdr:rowOff>
              </to>
            </anchor>
          </controlPr>
        </control>
      </mc:Choice>
      <mc:Fallback>
        <control shapeId="1072" r:id="rId8" name="cmdBuildEquations"/>
      </mc:Fallback>
    </mc:AlternateContent>
    <mc:AlternateContent xmlns:mc="http://schemas.openxmlformats.org/markup-compatibility/2006">
      <mc:Choice Requires="x14">
        <control shapeId="1074" r:id="rId10" name="chkFlowDirections">
          <controlPr defaultSize="0" autoLine="0" r:id="rId11">
            <anchor moveWithCells="1">
              <from>
                <xdr:col>13</xdr:col>
                <xdr:colOff>257175</xdr:colOff>
                <xdr:row>2</xdr:row>
                <xdr:rowOff>95250</xdr:rowOff>
              </from>
              <to>
                <xdr:col>18</xdr:col>
                <xdr:colOff>161925</xdr:colOff>
                <xdr:row>3</xdr:row>
                <xdr:rowOff>142875</xdr:rowOff>
              </to>
            </anchor>
          </controlPr>
        </control>
      </mc:Choice>
      <mc:Fallback>
        <control shapeId="1074" r:id="rId10" name="chkFlowDirections"/>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AI37"/>
  <sheetViews>
    <sheetView showGridLines="0" workbookViewId="0">
      <selection activeCell="I28" sqref="I28"/>
    </sheetView>
  </sheetViews>
  <sheetFormatPr defaultRowHeight="12.75" x14ac:dyDescent="0.2"/>
  <cols>
    <col min="1" max="1" width="5.140625" customWidth="1"/>
    <col min="2" max="32" width="4.5703125" customWidth="1"/>
    <col min="35" max="35" width="9.5703125" bestFit="1" customWidth="1"/>
  </cols>
  <sheetData>
    <row r="1" spans="1:32" ht="23.25" x14ac:dyDescent="0.35">
      <c r="A1" s="1" t="s">
        <v>11</v>
      </c>
      <c r="B1" s="1"/>
    </row>
    <row r="2" spans="1:32" x14ac:dyDescent="0.2">
      <c r="K2" s="4" t="s">
        <v>14</v>
      </c>
      <c r="L2" s="23">
        <v>0.2</v>
      </c>
      <c r="M2" s="2" t="str">
        <f>"[" &amp; lunit &amp; "/" &amp; tunit &amp; "]"</f>
        <v>[ft/day]</v>
      </c>
    </row>
    <row r="6" spans="1:32" x14ac:dyDescent="0.2">
      <c r="D6" s="4" t="s">
        <v>25</v>
      </c>
      <c r="E6" s="23">
        <f>MAX(C10:AF35)</f>
        <v>0.3503428067765692</v>
      </c>
      <c r="F6" s="2" t="str">
        <f>"[" &amp; lunit &amp; "/" &amp; tunit &amp; "]"</f>
        <v>[ft/day]</v>
      </c>
    </row>
    <row r="10" spans="1:32" x14ac:dyDescent="0.2">
      <c r="A10" s="38" t="s">
        <v>12</v>
      </c>
      <c r="B10" s="10">
        <f t="shared" ref="B10:B34" si="0">B11+cellsize</f>
        <v>250</v>
      </c>
      <c r="C10" s="30"/>
      <c r="D10" s="30"/>
      <c r="E10" s="30"/>
      <c r="F10" s="30"/>
      <c r="G10" s="30"/>
      <c r="H10" s="30"/>
      <c r="I10" s="30"/>
      <c r="J10" s="30"/>
      <c r="K10" s="30"/>
      <c r="L10" s="30"/>
      <c r="M10" s="30"/>
      <c r="N10" s="30"/>
      <c r="O10" s="30"/>
      <c r="P10" s="30"/>
      <c r="Q10" s="30"/>
      <c r="R10" s="30"/>
      <c r="S10" s="30"/>
      <c r="T10" s="30"/>
      <c r="U10" s="30"/>
      <c r="V10" s="30"/>
      <c r="W10" s="30"/>
      <c r="X10" s="30"/>
      <c r="Y10" s="30"/>
      <c r="Z10" s="30"/>
      <c r="AA10" s="30"/>
      <c r="AB10" s="30"/>
      <c r="AC10" s="30"/>
      <c r="AD10" s="30"/>
      <c r="AE10" s="30"/>
      <c r="AF10" s="30"/>
    </row>
    <row r="11" spans="1:32" x14ac:dyDescent="0.2">
      <c r="A11" s="39"/>
      <c r="B11" s="11">
        <f t="shared" si="0"/>
        <v>240</v>
      </c>
      <c r="C11" s="30"/>
      <c r="D11" s="30"/>
      <c r="E11" s="30"/>
      <c r="F11" s="30"/>
      <c r="G11" s="30"/>
      <c r="H11" s="30"/>
      <c r="I11" s="30"/>
      <c r="J11" s="30"/>
      <c r="K11" s="30"/>
      <c r="L11" s="30"/>
      <c r="M11" s="30"/>
      <c r="N11" s="30"/>
      <c r="O11" s="30"/>
      <c r="P11" s="30"/>
      <c r="Q11" s="30"/>
      <c r="R11" s="30"/>
      <c r="S11" s="30"/>
      <c r="T11" s="30"/>
      <c r="U11" s="30"/>
      <c r="V11" s="30"/>
      <c r="W11" s="30"/>
      <c r="X11" s="30"/>
      <c r="Y11" s="30"/>
      <c r="Z11" s="30"/>
      <c r="AA11" s="30"/>
      <c r="AB11" s="30"/>
      <c r="AC11" s="30"/>
      <c r="AD11" s="30"/>
      <c r="AE11" s="30"/>
      <c r="AF11" s="30"/>
    </row>
    <row r="12" spans="1:32" x14ac:dyDescent="0.2">
      <c r="A12" s="39"/>
      <c r="B12" s="11">
        <f t="shared" si="0"/>
        <v>230</v>
      </c>
      <c r="C12" s="30"/>
      <c r="D12" s="30"/>
      <c r="E12" s="30"/>
      <c r="F12" s="30"/>
      <c r="G12" s="30"/>
      <c r="H12" s="30"/>
      <c r="I12" s="30"/>
      <c r="J12" s="30"/>
      <c r="K12" s="30"/>
      <c r="L12" s="30"/>
      <c r="M12" s="30"/>
      <c r="N12" s="30"/>
      <c r="O12" s="30"/>
      <c r="P12" s="30"/>
      <c r="Q12" s="30"/>
      <c r="R12" s="30"/>
      <c r="S12" s="30"/>
      <c r="T12" s="30"/>
      <c r="U12" s="30"/>
      <c r="V12" s="30"/>
      <c r="W12" s="30"/>
      <c r="X12" s="30"/>
      <c r="Y12" s="30"/>
      <c r="Z12" s="30"/>
      <c r="AA12" s="30"/>
      <c r="AB12" s="30"/>
      <c r="AC12" s="30"/>
      <c r="AD12" s="30"/>
      <c r="AE12" s="30"/>
      <c r="AF12" s="30"/>
    </row>
    <row r="13" spans="1:32" x14ac:dyDescent="0.2">
      <c r="A13" s="39"/>
      <c r="B13" s="11">
        <f t="shared" si="0"/>
        <v>220</v>
      </c>
      <c r="C13" s="30"/>
      <c r="D13" s="30"/>
      <c r="E13" s="30"/>
      <c r="F13" s="30"/>
      <c r="G13" s="30"/>
      <c r="H13" s="30"/>
      <c r="I13" s="30"/>
      <c r="J13" s="30"/>
      <c r="K13" s="30"/>
      <c r="L13" s="30"/>
      <c r="M13" s="30"/>
      <c r="N13" s="30"/>
      <c r="O13" s="30"/>
      <c r="P13" s="30"/>
      <c r="Q13" s="30"/>
      <c r="R13" s="30"/>
      <c r="S13" s="30"/>
      <c r="T13" s="30"/>
      <c r="U13" s="30"/>
      <c r="V13" s="30"/>
      <c r="W13" s="30"/>
      <c r="X13" s="30"/>
      <c r="Y13" s="30"/>
      <c r="Z13" s="30"/>
      <c r="AA13" s="30"/>
      <c r="AB13" s="30"/>
      <c r="AC13" s="30"/>
      <c r="AD13" s="30"/>
      <c r="AE13" s="30"/>
      <c r="AF13" s="30"/>
    </row>
    <row r="14" spans="1:32" x14ac:dyDescent="0.2">
      <c r="A14" s="39"/>
      <c r="B14" s="11">
        <f t="shared" si="0"/>
        <v>210</v>
      </c>
      <c r="C14" s="30"/>
      <c r="D14" s="30"/>
      <c r="E14" s="30"/>
      <c r="F14" s="30"/>
      <c r="G14" s="30"/>
      <c r="H14" s="30"/>
      <c r="I14" s="30"/>
      <c r="J14" s="30"/>
      <c r="K14" s="30"/>
      <c r="L14" s="30"/>
      <c r="M14" s="30"/>
      <c r="N14" s="30"/>
      <c r="O14" s="30"/>
      <c r="P14" s="30"/>
      <c r="Q14" s="30"/>
      <c r="R14" s="30"/>
      <c r="S14" s="30"/>
      <c r="T14" s="30"/>
      <c r="U14" s="30"/>
      <c r="V14" s="30"/>
      <c r="W14" s="30"/>
      <c r="X14" s="30"/>
      <c r="Y14" s="30"/>
      <c r="Z14" s="30"/>
      <c r="AA14" s="30"/>
      <c r="AB14" s="30"/>
      <c r="AC14" s="30"/>
      <c r="AD14" s="30"/>
      <c r="AE14" s="30"/>
      <c r="AF14" s="30"/>
    </row>
    <row r="15" spans="1:32" x14ac:dyDescent="0.2">
      <c r="A15" s="39"/>
      <c r="B15" s="11">
        <f t="shared" si="0"/>
        <v>200</v>
      </c>
      <c r="C15" s="30"/>
      <c r="D15" s="30"/>
      <c r="E15" s="30"/>
      <c r="F15" s="30"/>
      <c r="G15" s="30"/>
      <c r="H15" s="30"/>
      <c r="I15" s="30"/>
      <c r="J15" s="30"/>
      <c r="K15" s="30"/>
      <c r="L15" s="30"/>
      <c r="M15" s="30"/>
      <c r="N15" s="30"/>
      <c r="O15" s="30"/>
      <c r="P15" s="30"/>
      <c r="Q15" s="30"/>
      <c r="R15" s="30"/>
      <c r="S15" s="30"/>
      <c r="T15" s="30"/>
      <c r="U15" s="30"/>
      <c r="V15" s="30"/>
      <c r="W15" s="30"/>
      <c r="X15" s="30"/>
      <c r="Y15" s="30"/>
      <c r="Z15" s="30"/>
      <c r="AA15" s="30"/>
      <c r="AB15" s="30"/>
      <c r="AC15" s="30"/>
      <c r="AD15" s="30"/>
      <c r="AE15" s="30"/>
      <c r="AF15" s="30"/>
    </row>
    <row r="16" spans="1:32" x14ac:dyDescent="0.2">
      <c r="A16" s="39"/>
      <c r="B16" s="11">
        <f t="shared" si="0"/>
        <v>190</v>
      </c>
      <c r="C16" s="30"/>
      <c r="D16" s="30"/>
      <c r="E16" s="30"/>
      <c r="F16" s="30"/>
      <c r="G16" s="30"/>
      <c r="H16" s="30"/>
      <c r="I16" s="30"/>
      <c r="J16" s="30"/>
      <c r="K16" s="30"/>
      <c r="L16" s="30"/>
      <c r="M16" s="30"/>
      <c r="N16" s="30"/>
      <c r="O16" s="30"/>
      <c r="P16" s="30"/>
      <c r="Q16" s="30"/>
      <c r="R16" s="30"/>
      <c r="S16" s="30"/>
      <c r="T16" s="30"/>
      <c r="U16" s="30"/>
      <c r="V16" s="30"/>
      <c r="W16" s="30"/>
      <c r="X16" s="30"/>
      <c r="Y16" s="30"/>
      <c r="Z16" s="30"/>
      <c r="AA16" s="30"/>
      <c r="AB16" s="30"/>
      <c r="AC16" s="30"/>
      <c r="AD16" s="30"/>
      <c r="AE16" s="30"/>
      <c r="AF16" s="30"/>
    </row>
    <row r="17" spans="1:35" x14ac:dyDescent="0.2">
      <c r="A17" s="39"/>
      <c r="B17" s="11">
        <f t="shared" si="0"/>
        <v>180</v>
      </c>
      <c r="C17" s="30"/>
      <c r="D17" s="30"/>
      <c r="E17" s="30"/>
      <c r="F17" s="30"/>
      <c r="G17" s="30"/>
      <c r="H17" s="30"/>
      <c r="I17" s="30"/>
      <c r="J17" s="30"/>
      <c r="K17" s="30"/>
      <c r="L17" s="30"/>
      <c r="M17" s="30"/>
      <c r="N17" s="30"/>
      <c r="O17" s="30"/>
      <c r="P17" s="30"/>
      <c r="Q17" s="30"/>
      <c r="R17" s="30"/>
      <c r="S17" s="30"/>
      <c r="T17" s="30"/>
      <c r="U17" s="30"/>
      <c r="V17" s="30"/>
      <c r="W17" s="30"/>
      <c r="X17" s="30"/>
      <c r="Y17" s="30"/>
      <c r="Z17" s="30"/>
      <c r="AA17" s="30"/>
      <c r="AB17" s="30"/>
      <c r="AC17" s="30"/>
      <c r="AD17" s="30"/>
      <c r="AE17" s="30"/>
      <c r="AF17" s="30"/>
    </row>
    <row r="18" spans="1:35" x14ac:dyDescent="0.2">
      <c r="A18" s="39"/>
      <c r="B18" s="11">
        <f t="shared" si="0"/>
        <v>170</v>
      </c>
      <c r="C18" s="30"/>
      <c r="D18" s="30"/>
      <c r="E18" s="30"/>
      <c r="F18" s="30"/>
      <c r="G18" s="46">
        <v>8.7671372501327477E-2</v>
      </c>
      <c r="H18" s="46">
        <v>8.9229362696789855E-2</v>
      </c>
      <c r="I18" s="46">
        <v>9.4136090035709691E-2</v>
      </c>
      <c r="J18" s="46">
        <v>0.10319871163352445</v>
      </c>
      <c r="K18" s="46">
        <v>0.11822707773896468</v>
      </c>
      <c r="L18" s="46">
        <v>0.14322521239991773</v>
      </c>
      <c r="M18" s="46">
        <v>0.18784360865351743</v>
      </c>
      <c r="N18" s="46">
        <v>0.34843493752780613</v>
      </c>
      <c r="O18" s="31">
        <v>0.3503428067765692</v>
      </c>
      <c r="P18" s="31">
        <v>0.24096303134176578</v>
      </c>
      <c r="Q18" s="31">
        <v>0.20920041630362476</v>
      </c>
      <c r="R18" s="31">
        <v>0.20919461619471319</v>
      </c>
      <c r="S18" s="31">
        <v>0.24094315490811813</v>
      </c>
      <c r="T18" s="31">
        <v>0.35029666686679495</v>
      </c>
      <c r="U18" s="47">
        <v>0.34837650977059592</v>
      </c>
      <c r="V18" s="47">
        <v>0.18780292709172669</v>
      </c>
      <c r="W18" s="47">
        <v>0.14318891034257747</v>
      </c>
      <c r="X18" s="47">
        <v>0.1181930247433776</v>
      </c>
      <c r="Y18" s="47">
        <v>0.10316591814749643</v>
      </c>
      <c r="Z18" s="47">
        <v>9.4104016928533693E-2</v>
      </c>
      <c r="AA18" s="47">
        <v>8.9197664688566644E-2</v>
      </c>
      <c r="AB18" s="47">
        <v>8.7639787394981281E-2</v>
      </c>
      <c r="AC18" s="30"/>
      <c r="AD18" s="30"/>
      <c r="AE18" s="30"/>
      <c r="AF18" s="30"/>
    </row>
    <row r="19" spans="1:35" x14ac:dyDescent="0.2">
      <c r="A19" s="39"/>
      <c r="B19" s="11">
        <f t="shared" si="0"/>
        <v>160</v>
      </c>
      <c r="C19" s="30"/>
      <c r="D19" s="30"/>
      <c r="E19" s="30"/>
      <c r="F19" s="30"/>
      <c r="G19" s="31">
        <v>8.612718339629985E-2</v>
      </c>
      <c r="H19" s="31">
        <v>8.7614421606638695E-2</v>
      </c>
      <c r="I19" s="31">
        <v>9.2322514617428839E-2</v>
      </c>
      <c r="J19" s="31">
        <v>0.10093692674190136</v>
      </c>
      <c r="K19" s="31">
        <v>0.11499683253067462</v>
      </c>
      <c r="L19" s="31">
        <v>0.13788086313082074</v>
      </c>
      <c r="M19" s="31">
        <v>0.17819370647846619</v>
      </c>
      <c r="N19" s="31">
        <v>0.26433086418104595</v>
      </c>
      <c r="O19" s="31">
        <v>0.22944903348311557</v>
      </c>
      <c r="P19" s="31">
        <v>0.20651150226970777</v>
      </c>
      <c r="Q19" s="31">
        <v>0.19401818234839957</v>
      </c>
      <c r="R19" s="31">
        <v>0.19401335222752542</v>
      </c>
      <c r="S19" s="31">
        <v>0.20649640387158408</v>
      </c>
      <c r="T19" s="31">
        <v>0.22942200536851792</v>
      </c>
      <c r="U19" s="31">
        <v>0.26428653257810442</v>
      </c>
      <c r="V19" s="31">
        <v>0.17815635795086621</v>
      </c>
      <c r="W19" s="31">
        <v>0.13784639101222113</v>
      </c>
      <c r="X19" s="31">
        <v>0.11496392237886442</v>
      </c>
      <c r="Y19" s="31">
        <v>0.10090494636588181</v>
      </c>
      <c r="Z19" s="31">
        <v>9.229108610676981E-2</v>
      </c>
      <c r="AA19" s="31">
        <v>8.7583285251703197E-2</v>
      </c>
      <c r="AB19" s="31">
        <v>8.6096137622200752E-2</v>
      </c>
      <c r="AC19" s="30"/>
      <c r="AD19" s="30"/>
      <c r="AE19" s="30"/>
      <c r="AF19" s="30"/>
    </row>
    <row r="20" spans="1:35" x14ac:dyDescent="0.2">
      <c r="A20" s="39"/>
      <c r="B20" s="11">
        <f t="shared" si="0"/>
        <v>150</v>
      </c>
      <c r="C20" s="30"/>
      <c r="D20" s="30"/>
      <c r="E20" s="30"/>
      <c r="F20" s="30"/>
      <c r="G20" s="31">
        <v>8.1721821009426335E-2</v>
      </c>
      <c r="H20" s="31">
        <v>8.3031460806205618E-2</v>
      </c>
      <c r="I20" s="31">
        <v>8.7248360635779482E-2</v>
      </c>
      <c r="J20" s="31">
        <v>9.4761695103351598E-2</v>
      </c>
      <c r="K20" s="31">
        <v>0.10642089675757276</v>
      </c>
      <c r="L20" s="31">
        <v>0.12361324610815666</v>
      </c>
      <c r="M20" s="31">
        <v>0.14793271091024934</v>
      </c>
      <c r="N20" s="31">
        <v>0.1769715276392537</v>
      </c>
      <c r="O20" s="31">
        <v>0.17643004167576878</v>
      </c>
      <c r="P20" s="31">
        <v>0.17213619649616826</v>
      </c>
      <c r="Q20" s="31">
        <v>0.16874746740965921</v>
      </c>
      <c r="R20" s="31">
        <v>0.1687435248069141</v>
      </c>
      <c r="S20" s="31">
        <v>0.17212420462150885</v>
      </c>
      <c r="T20" s="31">
        <v>0.17640957022932904</v>
      </c>
      <c r="U20" s="31">
        <v>0.17694226084880549</v>
      </c>
      <c r="V20" s="31">
        <v>0.1479022805063285</v>
      </c>
      <c r="W20" s="31">
        <v>0.12358288662364102</v>
      </c>
      <c r="X20" s="31">
        <v>0.10639078952843985</v>
      </c>
      <c r="Y20" s="31">
        <v>9.4731813095138506E-2</v>
      </c>
      <c r="Z20" s="31">
        <v>8.7218633817714816E-2</v>
      </c>
      <c r="AA20" s="31">
        <v>8.300181868103515E-2</v>
      </c>
      <c r="AB20" s="31">
        <v>8.1692212559860825E-2</v>
      </c>
      <c r="AC20" s="30"/>
      <c r="AD20" s="30"/>
      <c r="AE20" s="30"/>
      <c r="AF20" s="30"/>
    </row>
    <row r="21" spans="1:35" x14ac:dyDescent="0.2">
      <c r="A21" s="39"/>
      <c r="B21" s="11">
        <f t="shared" si="0"/>
        <v>140</v>
      </c>
      <c r="C21" s="30"/>
      <c r="D21" s="30"/>
      <c r="E21" s="30"/>
      <c r="F21" s="30"/>
      <c r="G21" s="31">
        <v>7.5032504978788023E-2</v>
      </c>
      <c r="H21" s="31">
        <v>7.6132208999364195E-2</v>
      </c>
      <c r="I21" s="31">
        <v>7.9790319589850833E-2</v>
      </c>
      <c r="J21" s="31">
        <v>8.6091013700900554E-2</v>
      </c>
      <c r="K21" s="31">
        <v>9.5305639681864632E-2</v>
      </c>
      <c r="L21" s="31">
        <v>0.10761546370783956</v>
      </c>
      <c r="M21" s="31">
        <v>0.12244703308071839</v>
      </c>
      <c r="N21" s="31">
        <v>0.13662167817761123</v>
      </c>
      <c r="O21" s="31">
        <v>0.14213525688007492</v>
      </c>
      <c r="P21" s="31">
        <v>0.14373339950717892</v>
      </c>
      <c r="Q21" s="31">
        <v>0.14389644416997863</v>
      </c>
      <c r="R21" s="31">
        <v>0.14389325961044927</v>
      </c>
      <c r="S21" s="31">
        <v>0.14372383285712426</v>
      </c>
      <c r="T21" s="31">
        <v>0.14211936220368809</v>
      </c>
      <c r="U21" s="31">
        <v>0.13660008952005592</v>
      </c>
      <c r="V21" s="31">
        <v>0.12242262448571972</v>
      </c>
      <c r="W21" s="31">
        <v>0.10758966302037709</v>
      </c>
      <c r="X21" s="31">
        <v>9.5279082831596543E-2</v>
      </c>
      <c r="Y21" s="31">
        <v>8.6064001177193289E-2</v>
      </c>
      <c r="Z21" s="31">
        <v>7.9763017194043259E-2</v>
      </c>
      <c r="AA21" s="31">
        <v>7.6104735947096977E-2</v>
      </c>
      <c r="AB21" s="31">
        <v>7.5004993721800806E-2</v>
      </c>
      <c r="AC21" s="30"/>
      <c r="AD21" s="30"/>
      <c r="AE21" s="30"/>
      <c r="AF21" s="30"/>
    </row>
    <row r="22" spans="1:35" x14ac:dyDescent="0.2">
      <c r="A22" s="39"/>
      <c r="B22" s="11">
        <f t="shared" si="0"/>
        <v>130</v>
      </c>
      <c r="C22" s="30"/>
      <c r="D22" s="30"/>
      <c r="E22" s="30"/>
      <c r="F22" s="30"/>
      <c r="G22" s="31">
        <v>6.6766702925836544E-2</v>
      </c>
      <c r="H22" s="31">
        <v>6.7689635974960916E-2</v>
      </c>
      <c r="I22" s="31">
        <v>7.0907903175378789E-2</v>
      </c>
      <c r="J22" s="31">
        <v>7.6265328737564725E-2</v>
      </c>
      <c r="K22" s="31">
        <v>8.3691908363104847E-2</v>
      </c>
      <c r="L22" s="31">
        <v>9.2898323445332401E-2</v>
      </c>
      <c r="M22" s="31">
        <v>0.10304249816618717</v>
      </c>
      <c r="N22" s="31">
        <v>0.11230133274287679</v>
      </c>
      <c r="O22" s="31">
        <v>0.11826637953380163</v>
      </c>
      <c r="P22" s="31">
        <v>0.12153371679415488</v>
      </c>
      <c r="Q22" s="31">
        <v>0.12291578521221391</v>
      </c>
      <c r="R22" s="31">
        <v>0.12291326423444074</v>
      </c>
      <c r="S22" s="31">
        <v>0.12152619894074583</v>
      </c>
      <c r="T22" s="31">
        <v>0.11825406527666003</v>
      </c>
      <c r="U22" s="31">
        <v>0.11228481637894271</v>
      </c>
      <c r="V22" s="31">
        <v>0.10302306755756913</v>
      </c>
      <c r="W22" s="31">
        <v>9.2876952956201408E-2</v>
      </c>
      <c r="X22" s="31">
        <v>8.366920112457249E-2</v>
      </c>
      <c r="Y22" s="31">
        <v>7.6241663682759933E-2</v>
      </c>
      <c r="Z22" s="31">
        <v>7.0883560536818616E-2</v>
      </c>
      <c r="AA22" s="31">
        <v>6.7664874760408986E-2</v>
      </c>
      <c r="AB22" s="31">
        <v>6.6741831841068716E-2</v>
      </c>
      <c r="AC22" s="30"/>
      <c r="AD22" s="30"/>
      <c r="AE22" s="30"/>
      <c r="AF22" s="30"/>
    </row>
    <row r="23" spans="1:35" x14ac:dyDescent="0.2">
      <c r="A23" s="39"/>
      <c r="B23" s="11">
        <f t="shared" si="0"/>
        <v>120</v>
      </c>
      <c r="C23" s="30"/>
      <c r="D23" s="30"/>
      <c r="E23" s="30"/>
      <c r="F23" s="30"/>
      <c r="G23" s="31">
        <v>5.7576180737485341E-2</v>
      </c>
      <c r="H23" s="31">
        <v>5.8393638984294331E-2</v>
      </c>
      <c r="I23" s="31">
        <v>6.1392482651420152E-2</v>
      </c>
      <c r="J23" s="31">
        <v>6.6227175957386614E-2</v>
      </c>
      <c r="K23" s="31">
        <v>7.2635638823800225E-2</v>
      </c>
      <c r="L23" s="31">
        <v>8.0175259036779065E-2</v>
      </c>
      <c r="M23" s="31">
        <v>8.8112696892914899E-2</v>
      </c>
      <c r="N23" s="31">
        <v>9.5384723491401702E-2</v>
      </c>
      <c r="O23" s="31">
        <v>0.10092911898680566</v>
      </c>
      <c r="P23" s="31">
        <v>0.10451606175891352</v>
      </c>
      <c r="Q23" s="31">
        <v>0.1062470113085604</v>
      </c>
      <c r="R23" s="31">
        <v>0.10624507512287071</v>
      </c>
      <c r="S23" s="31">
        <v>0.10451030809761351</v>
      </c>
      <c r="T23" s="31">
        <v>0.1009197401786727</v>
      </c>
      <c r="U23" s="31">
        <v>9.5372124262865551E-2</v>
      </c>
      <c r="V23" s="31">
        <v>8.8097518523737678E-2</v>
      </c>
      <c r="W23" s="31">
        <v>8.0158079041641711E-2</v>
      </c>
      <c r="X23" s="31">
        <v>7.2616881608233069E-2</v>
      </c>
      <c r="Y23" s="31">
        <v>6.6207157354274765E-2</v>
      </c>
      <c r="Z23" s="31">
        <v>6.1371492796067441E-2</v>
      </c>
      <c r="AA23" s="31">
        <v>5.837201370061091E-2</v>
      </c>
      <c r="AB23" s="31">
        <v>5.7554380669035295E-2</v>
      </c>
      <c r="AC23" s="30"/>
      <c r="AD23" s="30"/>
      <c r="AE23" s="30"/>
      <c r="AF23" s="30"/>
      <c r="AI23" s="17"/>
    </row>
    <row r="24" spans="1:35" x14ac:dyDescent="0.2">
      <c r="A24" s="39"/>
      <c r="B24" s="11">
        <f t="shared" si="0"/>
        <v>110</v>
      </c>
      <c r="C24" s="30"/>
      <c r="D24" s="30"/>
      <c r="E24" s="30"/>
      <c r="F24" s="30"/>
      <c r="G24" s="31">
        <v>4.7962916821552418E-2</v>
      </c>
      <c r="H24" s="31">
        <v>4.8764080076080782E-2</v>
      </c>
      <c r="I24" s="31">
        <v>5.1809543156200476E-2</v>
      </c>
      <c r="J24" s="31">
        <v>5.6562989362494466E-2</v>
      </c>
      <c r="K24" s="31">
        <v>6.2615173354723802E-2</v>
      </c>
      <c r="L24" s="31">
        <v>6.945329552695885E-2</v>
      </c>
      <c r="M24" s="31">
        <v>7.6445274289535126E-2</v>
      </c>
      <c r="N24" s="31">
        <v>8.286357597463738E-2</v>
      </c>
      <c r="O24" s="31">
        <v>8.803948508320221E-2</v>
      </c>
      <c r="P24" s="31">
        <v>9.159934809822573E-2</v>
      </c>
      <c r="Q24" s="31">
        <v>9.3396525191088667E-2</v>
      </c>
      <c r="R24" s="31">
        <v>9.3395097148761652E-2</v>
      </c>
      <c r="S24" s="31">
        <v>9.1595109108232431E-2</v>
      </c>
      <c r="T24" s="31">
        <v>8.8032576170624086E-2</v>
      </c>
      <c r="U24" s="31">
        <v>8.2854242857005725E-2</v>
      </c>
      <c r="V24" s="31">
        <v>7.6433842918614742E-2</v>
      </c>
      <c r="W24" s="31">
        <v>6.9440068076188924E-2</v>
      </c>
      <c r="X24" s="31">
        <v>6.2600379794178901E-2</v>
      </c>
      <c r="Y24" s="31">
        <v>5.6546813349199851E-2</v>
      </c>
      <c r="Z24" s="31">
        <v>5.1792201724127823E-2</v>
      </c>
      <c r="AA24" s="31">
        <v>4.8745919155615096E-2</v>
      </c>
      <c r="AB24" s="31">
        <v>4.7944521954527419E-2</v>
      </c>
      <c r="AC24" s="30"/>
      <c r="AD24" s="30"/>
      <c r="AE24" s="30"/>
      <c r="AF24" s="30"/>
    </row>
    <row r="25" spans="1:35" x14ac:dyDescent="0.2">
      <c r="A25" s="39"/>
      <c r="B25" s="11">
        <f t="shared" si="0"/>
        <v>100</v>
      </c>
      <c r="C25" s="30"/>
      <c r="D25" s="30"/>
      <c r="E25" s="30"/>
      <c r="F25" s="30"/>
      <c r="G25" s="31">
        <v>3.826256380363869E-2</v>
      </c>
      <c r="H25" s="31">
        <v>3.9151448372557143E-2</v>
      </c>
      <c r="I25" s="31">
        <v>4.2548466461955356E-2</v>
      </c>
      <c r="J25" s="31">
        <v>4.7647248944082336E-2</v>
      </c>
      <c r="K25" s="31">
        <v>5.3864828288692462E-2</v>
      </c>
      <c r="L25" s="31">
        <v>6.0621560952763512E-2</v>
      </c>
      <c r="M25" s="31">
        <v>6.734074142711173E-2</v>
      </c>
      <c r="N25" s="31">
        <v>7.3449927254018485E-2</v>
      </c>
      <c r="O25" s="31">
        <v>7.8437198814020198E-2</v>
      </c>
      <c r="P25" s="31">
        <v>8.193476534436106E-2</v>
      </c>
      <c r="Q25" s="31">
        <v>8.372896815776136E-2</v>
      </c>
      <c r="R25" s="31">
        <v>8.3727969610228728E-2</v>
      </c>
      <c r="S25" s="31">
        <v>8.193180278272516E-2</v>
      </c>
      <c r="T25" s="31">
        <v>7.8432368007339631E-2</v>
      </c>
      <c r="U25" s="31">
        <v>7.3443373589517011E-2</v>
      </c>
      <c r="V25" s="31">
        <v>6.7332629132223348E-2</v>
      </c>
      <c r="W25" s="31">
        <v>6.0612022836291371E-2</v>
      </c>
      <c r="X25" s="31">
        <v>5.3853936390342652E-2</v>
      </c>
      <c r="Y25" s="31">
        <v>4.763503271197532E-2</v>
      </c>
      <c r="Z25" s="31">
        <v>4.2535000067711479E-2</v>
      </c>
      <c r="AA25" s="31">
        <v>3.9137006491022773E-2</v>
      </c>
      <c r="AB25" s="31">
        <v>3.8247828332893016E-2</v>
      </c>
      <c r="AC25" s="30"/>
      <c r="AD25" s="30"/>
      <c r="AE25" s="30"/>
      <c r="AF25" s="30"/>
    </row>
    <row r="26" spans="1:35" x14ac:dyDescent="0.2">
      <c r="A26" s="39"/>
      <c r="B26" s="11">
        <f t="shared" si="0"/>
        <v>90</v>
      </c>
      <c r="C26" s="30"/>
      <c r="D26" s="30"/>
      <c r="E26" s="30"/>
      <c r="F26" s="30"/>
      <c r="G26" s="31">
        <v>2.8673299519856942E-2</v>
      </c>
      <c r="H26" s="31">
        <v>2.9790427842845565E-2</v>
      </c>
      <c r="I26" s="31">
        <v>3.3927652019043034E-2</v>
      </c>
      <c r="J26" s="31">
        <v>3.9791951919855906E-2</v>
      </c>
      <c r="K26" s="31">
        <v>4.6568257335650474E-2</v>
      </c>
      <c r="L26" s="31">
        <v>5.3622504421318495E-2</v>
      </c>
      <c r="M26" s="31">
        <v>6.0427579682129258E-2</v>
      </c>
      <c r="N26" s="31">
        <v>6.6509270820867841E-2</v>
      </c>
      <c r="O26" s="31">
        <v>7.144965946813378E-2</v>
      </c>
      <c r="P26" s="31">
        <v>7.492145567244371E-2</v>
      </c>
      <c r="Q26" s="31">
        <v>7.6709105144891612E-2</v>
      </c>
      <c r="R26" s="31">
        <v>7.6708452105636607E-2</v>
      </c>
      <c r="S26" s="31">
        <v>7.4919522195246821E-2</v>
      </c>
      <c r="T26" s="31">
        <v>7.1446516533108628E-2</v>
      </c>
      <c r="U26" s="31">
        <v>6.650501689397631E-2</v>
      </c>
      <c r="V26" s="31">
        <v>6.0422311297324054E-2</v>
      </c>
      <c r="W26" s="31">
        <v>5.3616278985346481E-2</v>
      </c>
      <c r="X26" s="31">
        <v>4.6561061314866412E-2</v>
      </c>
      <c r="Y26" s="31">
        <v>3.9783692604983434E-2</v>
      </c>
      <c r="Z26" s="31">
        <v>3.3918217525354205E-2</v>
      </c>
      <c r="AA26" s="31">
        <v>2.9779903786723225E-2</v>
      </c>
      <c r="AB26" s="31">
        <v>2.8662412025889809E-2</v>
      </c>
      <c r="AC26" s="30"/>
      <c r="AD26" s="30"/>
      <c r="AE26" s="30"/>
      <c r="AF26" s="30"/>
    </row>
    <row r="27" spans="1:35" x14ac:dyDescent="0.2">
      <c r="A27" s="39"/>
      <c r="B27" s="11">
        <f t="shared" si="0"/>
        <v>80</v>
      </c>
      <c r="C27" s="30"/>
      <c r="D27" s="30"/>
      <c r="E27" s="30"/>
      <c r="F27" s="30"/>
      <c r="G27" s="31">
        <v>1.9317079371986425E-2</v>
      </c>
      <c r="H27" s="31">
        <v>2.0917607467452855E-2</v>
      </c>
      <c r="I27" s="31">
        <v>2.6368199977971556E-2</v>
      </c>
      <c r="J27" s="31">
        <v>3.3392135939411483E-2</v>
      </c>
      <c r="K27" s="31">
        <v>4.0963705908444947E-2</v>
      </c>
      <c r="L27" s="31">
        <v>4.8489008452703146E-2</v>
      </c>
      <c r="M27" s="31">
        <v>5.5531880056750617E-2</v>
      </c>
      <c r="N27" s="31">
        <v>6.1709684573987358E-2</v>
      </c>
      <c r="O27" s="31">
        <v>6.6679077897897399E-2</v>
      </c>
      <c r="P27" s="31">
        <v>7.0157473793390671E-2</v>
      </c>
      <c r="Q27" s="31">
        <v>7.1946860106067032E-2</v>
      </c>
      <c r="R27" s="31">
        <v>7.1946460181922647E-2</v>
      </c>
      <c r="S27" s="31">
        <v>7.0156297289476643E-2</v>
      </c>
      <c r="T27" s="31">
        <v>6.667718899296407E-2</v>
      </c>
      <c r="U27" s="31">
        <v>6.1707172279238297E-2</v>
      </c>
      <c r="V27" s="31">
        <v>5.5528833831883138E-2</v>
      </c>
      <c r="W27" s="31">
        <v>4.8485488193648764E-2</v>
      </c>
      <c r="X27" s="31">
        <v>4.095970795039431E-2</v>
      </c>
      <c r="Y27" s="31">
        <v>3.3387554402401223E-2</v>
      </c>
      <c r="Z27" s="31">
        <v>2.6362799633747228E-2</v>
      </c>
      <c r="AA27" s="31">
        <v>2.0911153048313241E-2</v>
      </c>
      <c r="AB27" s="31">
        <v>1.931017662264381E-2</v>
      </c>
      <c r="AC27" s="30"/>
      <c r="AD27" s="30"/>
      <c r="AE27" s="30"/>
      <c r="AF27" s="30"/>
    </row>
    <row r="28" spans="1:35" x14ac:dyDescent="0.2">
      <c r="A28" s="39"/>
      <c r="B28" s="11">
        <f t="shared" si="0"/>
        <v>70</v>
      </c>
      <c r="C28" s="30"/>
      <c r="D28" s="30"/>
      <c r="E28" s="30"/>
      <c r="F28" s="30"/>
      <c r="G28" s="31">
        <v>1.0430234083289793E-2</v>
      </c>
      <c r="H28" s="31">
        <v>1.3161035034338894E-2</v>
      </c>
      <c r="I28" s="31">
        <v>2.070949135852948E-2</v>
      </c>
      <c r="J28" s="31">
        <v>2.9044953974608542E-2</v>
      </c>
      <c r="K28" s="31">
        <v>3.7375014950194886E-2</v>
      </c>
      <c r="L28" s="31">
        <v>4.5327001991620451E-2</v>
      </c>
      <c r="M28" s="31">
        <v>5.259557688474549E-2</v>
      </c>
      <c r="N28" s="31">
        <v>5.8880957471488311E-2</v>
      </c>
      <c r="O28" s="31">
        <v>6.3895404407415396E-2</v>
      </c>
      <c r="P28" s="31">
        <v>6.7390544586177742E-2</v>
      </c>
      <c r="Q28" s="31">
        <v>6.9185366899212813E-2</v>
      </c>
      <c r="R28" s="31">
        <v>6.9185118469573356E-2</v>
      </c>
      <c r="S28" s="31">
        <v>6.7389822800918153E-2</v>
      </c>
      <c r="T28" s="31">
        <v>6.3894275165088943E-2</v>
      </c>
      <c r="U28" s="31">
        <v>5.8879516363478747E-2</v>
      </c>
      <c r="V28" s="31">
        <v>5.2593931325240456E-2</v>
      </c>
      <c r="W28" s="31">
        <v>4.5325251377353611E-2</v>
      </c>
      <c r="X28" s="31">
        <v>3.7373229736027115E-2</v>
      </c>
      <c r="Y28" s="31">
        <v>2.9043148035693085E-2</v>
      </c>
      <c r="Z28" s="31">
        <v>2.0707565421155347E-2</v>
      </c>
      <c r="AA28" s="31">
        <v>1.315864107698397E-2</v>
      </c>
      <c r="AB28" s="31">
        <v>1.042740992962417E-2</v>
      </c>
      <c r="AC28" s="30"/>
      <c r="AD28" s="30"/>
      <c r="AE28" s="30"/>
      <c r="AF28" s="30"/>
    </row>
    <row r="29" spans="1:35" x14ac:dyDescent="0.2">
      <c r="A29" s="39"/>
      <c r="B29" s="11">
        <f t="shared" si="0"/>
        <v>60</v>
      </c>
      <c r="C29" s="30"/>
      <c r="D29" s="30"/>
      <c r="E29" s="30"/>
      <c r="F29" s="30"/>
      <c r="G29" s="31">
        <v>6.5783415298757445E-3</v>
      </c>
      <c r="H29" s="31">
        <v>1.0373167238788693E-2</v>
      </c>
      <c r="I29" s="31">
        <v>1.9031275732491831E-2</v>
      </c>
      <c r="J29" s="31">
        <v>2.7829178254195192E-2</v>
      </c>
      <c r="K29" s="31">
        <v>3.6376060438594808E-2</v>
      </c>
      <c r="L29" s="31">
        <v>4.4427319941936091E-2</v>
      </c>
      <c r="M29" s="31">
        <v>5.173084465057496E-2</v>
      </c>
      <c r="N29" s="31">
        <v>5.801660189895598E-2</v>
      </c>
      <c r="O29" s="31">
        <v>6.301681483871488E-2</v>
      </c>
      <c r="P29" s="31">
        <v>6.6496388006209703E-2</v>
      </c>
      <c r="Q29" s="31">
        <v>6.8281860728871865E-2</v>
      </c>
      <c r="R29" s="31">
        <v>6.8281650641107222E-2</v>
      </c>
      <c r="S29" s="31">
        <v>6.6495780953735664E-2</v>
      </c>
      <c r="T29" s="31">
        <v>6.3015876332311288E-2</v>
      </c>
      <c r="U29" s="31">
        <v>5.8015428549417956E-2</v>
      </c>
      <c r="V29" s="31">
        <v>5.1729548929632573E-2</v>
      </c>
      <c r="W29" s="31">
        <v>4.4426014523495219E-2</v>
      </c>
      <c r="X29" s="31">
        <v>3.6374844564092353E-2</v>
      </c>
      <c r="Y29" s="31">
        <v>2.7828125589107727E-2</v>
      </c>
      <c r="Z29" s="31">
        <v>1.9030415964057502E-2</v>
      </c>
      <c r="AA29" s="31">
        <v>1.0372414821939395E-2</v>
      </c>
      <c r="AB29" s="31">
        <v>6.5774793755086595E-3</v>
      </c>
      <c r="AC29" s="30"/>
      <c r="AD29" s="30"/>
      <c r="AE29" s="30"/>
      <c r="AF29" s="30"/>
    </row>
    <row r="30" spans="1:35" x14ac:dyDescent="0.2">
      <c r="A30" s="39"/>
      <c r="B30" s="11">
        <f t="shared" si="0"/>
        <v>50</v>
      </c>
      <c r="C30" s="30"/>
      <c r="D30" s="30"/>
      <c r="E30" s="30"/>
      <c r="F30" s="30"/>
      <c r="G30" s="30"/>
      <c r="H30" s="30"/>
      <c r="I30" s="30"/>
      <c r="J30" s="30"/>
      <c r="K30" s="30"/>
      <c r="L30" s="30"/>
      <c r="M30" s="30"/>
      <c r="N30" s="30"/>
      <c r="O30" s="30"/>
      <c r="P30" s="30"/>
      <c r="Q30" s="30"/>
      <c r="R30" s="30"/>
      <c r="S30" s="30"/>
      <c r="T30" s="30"/>
      <c r="U30" s="30"/>
      <c r="V30" s="30"/>
      <c r="W30" s="30"/>
      <c r="X30" s="30"/>
      <c r="Y30" s="30"/>
      <c r="Z30" s="30"/>
      <c r="AA30" s="30"/>
      <c r="AB30" s="30"/>
      <c r="AC30" s="30"/>
      <c r="AD30" s="30"/>
      <c r="AE30" s="30"/>
      <c r="AF30" s="30"/>
    </row>
    <row r="31" spans="1:35" x14ac:dyDescent="0.2">
      <c r="A31" s="39"/>
      <c r="B31" s="11">
        <f t="shared" si="0"/>
        <v>40</v>
      </c>
      <c r="C31" s="30"/>
      <c r="D31" s="30"/>
      <c r="E31" s="30"/>
      <c r="F31" s="30"/>
      <c r="G31" s="30"/>
      <c r="H31" s="30"/>
      <c r="I31" s="30"/>
      <c r="J31" s="30"/>
      <c r="K31" s="30"/>
      <c r="L31" s="30"/>
      <c r="M31" s="30"/>
      <c r="N31" s="30"/>
      <c r="O31" s="30"/>
      <c r="P31" s="30"/>
      <c r="Q31" s="30"/>
      <c r="R31" s="30"/>
      <c r="S31" s="30"/>
      <c r="T31" s="30"/>
      <c r="U31" s="30"/>
      <c r="V31" s="30"/>
      <c r="W31" s="30"/>
      <c r="X31" s="30"/>
      <c r="Y31" s="30"/>
      <c r="Z31" s="30"/>
      <c r="AA31" s="30"/>
      <c r="AB31" s="30"/>
      <c r="AC31" s="30"/>
      <c r="AD31" s="30"/>
      <c r="AE31" s="30"/>
      <c r="AF31" s="30"/>
    </row>
    <row r="32" spans="1:35" x14ac:dyDescent="0.2">
      <c r="A32" s="39"/>
      <c r="B32" s="11">
        <f t="shared" si="0"/>
        <v>30</v>
      </c>
      <c r="C32" s="30"/>
      <c r="D32" s="30"/>
      <c r="E32" s="30"/>
      <c r="F32" s="30"/>
      <c r="G32" s="30"/>
      <c r="H32" s="30"/>
      <c r="I32" s="30"/>
      <c r="J32" s="30"/>
      <c r="K32" s="30"/>
      <c r="L32" s="30"/>
      <c r="M32" s="30"/>
      <c r="N32" s="30"/>
      <c r="O32" s="30"/>
      <c r="P32" s="30"/>
      <c r="Q32" s="30"/>
      <c r="R32" s="30"/>
      <c r="S32" s="30"/>
      <c r="T32" s="30"/>
      <c r="U32" s="30"/>
      <c r="V32" s="30"/>
      <c r="W32" s="30"/>
      <c r="X32" s="30"/>
      <c r="Y32" s="30"/>
      <c r="Z32" s="30"/>
      <c r="AA32" s="30"/>
      <c r="AB32" s="30"/>
      <c r="AC32" s="30"/>
      <c r="AD32" s="30"/>
      <c r="AE32" s="30"/>
      <c r="AF32" s="30"/>
    </row>
    <row r="33" spans="1:32" x14ac:dyDescent="0.2">
      <c r="A33" s="39"/>
      <c r="B33" s="11">
        <f t="shared" si="0"/>
        <v>20</v>
      </c>
      <c r="C33" s="30"/>
      <c r="D33" s="30"/>
      <c r="E33" s="30"/>
      <c r="F33" s="30"/>
      <c r="G33" s="30"/>
      <c r="H33" s="30"/>
      <c r="I33" s="30"/>
      <c r="J33" s="30"/>
      <c r="K33" s="30"/>
      <c r="L33" s="30"/>
      <c r="M33" s="30"/>
      <c r="N33" s="30"/>
      <c r="O33" s="30"/>
      <c r="P33" s="30"/>
      <c r="Q33" s="30"/>
      <c r="R33" s="30"/>
      <c r="S33" s="30"/>
      <c r="T33" s="30"/>
      <c r="U33" s="30"/>
      <c r="V33" s="30"/>
      <c r="W33" s="30"/>
      <c r="X33" s="30"/>
      <c r="Y33" s="30"/>
      <c r="Z33" s="30"/>
      <c r="AA33" s="30"/>
      <c r="AB33" s="30"/>
      <c r="AC33" s="30"/>
      <c r="AD33" s="30"/>
      <c r="AE33" s="30"/>
      <c r="AF33" s="30"/>
    </row>
    <row r="34" spans="1:32" x14ac:dyDescent="0.2">
      <c r="A34" s="39"/>
      <c r="B34" s="11">
        <f t="shared" si="0"/>
        <v>10</v>
      </c>
      <c r="C34" s="30"/>
      <c r="D34" s="30"/>
      <c r="E34" s="30"/>
      <c r="F34" s="30"/>
      <c r="G34" s="30"/>
      <c r="H34" s="30"/>
      <c r="I34" s="30"/>
      <c r="J34" s="30"/>
      <c r="K34" s="30"/>
      <c r="L34" s="30"/>
      <c r="M34" s="30"/>
      <c r="N34" s="30"/>
      <c r="O34" s="30"/>
      <c r="P34" s="30"/>
      <c r="Q34" s="30"/>
      <c r="R34" s="30"/>
      <c r="S34" s="30"/>
      <c r="T34" s="30"/>
      <c r="U34" s="30"/>
      <c r="V34" s="30"/>
      <c r="W34" s="30"/>
      <c r="X34" s="30"/>
      <c r="Y34" s="30"/>
      <c r="Z34" s="30"/>
      <c r="AA34" s="30"/>
      <c r="AB34" s="30"/>
      <c r="AC34" s="30"/>
      <c r="AD34" s="30"/>
      <c r="AE34" s="30"/>
      <c r="AF34" s="30"/>
    </row>
    <row r="35" spans="1:32" x14ac:dyDescent="0.2">
      <c r="A35" s="40"/>
      <c r="B35" s="12">
        <v>0</v>
      </c>
      <c r="C35" s="30"/>
      <c r="D35" s="30"/>
      <c r="E35" s="30"/>
      <c r="F35" s="30"/>
      <c r="G35" s="30"/>
      <c r="H35" s="30"/>
      <c r="I35" s="30"/>
      <c r="J35" s="30"/>
      <c r="K35" s="30"/>
      <c r="L35" s="30"/>
      <c r="M35" s="30"/>
      <c r="N35" s="30"/>
      <c r="O35" s="30"/>
      <c r="P35" s="30"/>
      <c r="Q35" s="30"/>
      <c r="R35" s="30"/>
      <c r="S35" s="30"/>
      <c r="T35" s="30"/>
      <c r="U35" s="30"/>
      <c r="V35" s="30"/>
      <c r="W35" s="30"/>
      <c r="X35" s="30"/>
      <c r="Y35" s="30"/>
      <c r="Z35" s="30"/>
      <c r="AA35" s="30"/>
      <c r="AB35" s="30"/>
      <c r="AC35" s="30"/>
      <c r="AD35" s="30"/>
      <c r="AE35" s="30"/>
      <c r="AF35" s="30"/>
    </row>
    <row r="36" spans="1:32" x14ac:dyDescent="0.2">
      <c r="C36" s="6">
        <v>0</v>
      </c>
      <c r="D36" s="13">
        <f t="shared" ref="D36:AF36" si="1">C36+cellsize</f>
        <v>10</v>
      </c>
      <c r="E36" s="13">
        <f t="shared" si="1"/>
        <v>20</v>
      </c>
      <c r="F36" s="13">
        <f t="shared" si="1"/>
        <v>30</v>
      </c>
      <c r="G36" s="13">
        <f t="shared" si="1"/>
        <v>40</v>
      </c>
      <c r="H36" s="13">
        <f t="shared" si="1"/>
        <v>50</v>
      </c>
      <c r="I36" s="13">
        <f t="shared" si="1"/>
        <v>60</v>
      </c>
      <c r="J36" s="13">
        <f t="shared" si="1"/>
        <v>70</v>
      </c>
      <c r="K36" s="13">
        <f t="shared" si="1"/>
        <v>80</v>
      </c>
      <c r="L36" s="13">
        <f t="shared" si="1"/>
        <v>90</v>
      </c>
      <c r="M36" s="13">
        <f t="shared" si="1"/>
        <v>100</v>
      </c>
      <c r="N36" s="13">
        <f t="shared" si="1"/>
        <v>110</v>
      </c>
      <c r="O36" s="13">
        <f t="shared" si="1"/>
        <v>120</v>
      </c>
      <c r="P36" s="13">
        <f t="shared" si="1"/>
        <v>130</v>
      </c>
      <c r="Q36" s="13">
        <f t="shared" si="1"/>
        <v>140</v>
      </c>
      <c r="R36" s="13">
        <f t="shared" si="1"/>
        <v>150</v>
      </c>
      <c r="S36" s="13">
        <f t="shared" si="1"/>
        <v>160</v>
      </c>
      <c r="T36" s="13">
        <f t="shared" si="1"/>
        <v>170</v>
      </c>
      <c r="U36" s="13">
        <f t="shared" si="1"/>
        <v>180</v>
      </c>
      <c r="V36" s="13">
        <f t="shared" si="1"/>
        <v>190</v>
      </c>
      <c r="W36" s="13">
        <f t="shared" si="1"/>
        <v>200</v>
      </c>
      <c r="X36" s="13">
        <f t="shared" si="1"/>
        <v>210</v>
      </c>
      <c r="Y36" s="13">
        <f t="shared" si="1"/>
        <v>220</v>
      </c>
      <c r="Z36" s="13">
        <f t="shared" si="1"/>
        <v>230</v>
      </c>
      <c r="AA36" s="13">
        <f t="shared" si="1"/>
        <v>240</v>
      </c>
      <c r="AB36" s="13">
        <f t="shared" si="1"/>
        <v>250</v>
      </c>
      <c r="AC36" s="13">
        <f t="shared" si="1"/>
        <v>260</v>
      </c>
      <c r="AD36" s="13">
        <f t="shared" si="1"/>
        <v>270</v>
      </c>
      <c r="AE36" s="13">
        <f t="shared" si="1"/>
        <v>280</v>
      </c>
      <c r="AF36" s="14">
        <f t="shared" si="1"/>
        <v>290</v>
      </c>
    </row>
    <row r="37" spans="1:32" ht="21" x14ac:dyDescent="0.35">
      <c r="C37" s="41" t="s">
        <v>13</v>
      </c>
      <c r="D37" s="42"/>
      <c r="E37" s="42"/>
      <c r="F37" s="42"/>
      <c r="G37" s="42"/>
      <c r="H37" s="42"/>
      <c r="I37" s="42"/>
      <c r="J37" s="42"/>
      <c r="K37" s="42"/>
      <c r="L37" s="42"/>
      <c r="M37" s="42"/>
      <c r="N37" s="42"/>
      <c r="O37" s="42"/>
      <c r="P37" s="42"/>
      <c r="Q37" s="42"/>
      <c r="R37" s="42"/>
      <c r="S37" s="42"/>
      <c r="T37" s="42"/>
      <c r="U37" s="42"/>
      <c r="V37" s="42"/>
      <c r="W37" s="42"/>
      <c r="X37" s="42"/>
      <c r="Y37" s="42"/>
      <c r="Z37" s="42"/>
      <c r="AA37" s="42"/>
      <c r="AB37" s="42"/>
      <c r="AC37" s="42"/>
      <c r="AD37" s="42"/>
      <c r="AE37" s="42"/>
      <c r="AF37" s="43"/>
    </row>
  </sheetData>
  <mergeCells count="2">
    <mergeCell ref="A10:A35"/>
    <mergeCell ref="C37:AF37"/>
  </mergeCells>
  <conditionalFormatting sqref="C10:AF35">
    <cfRule type="cellIs" dxfId="0" priority="1" operator="greaterThan">
      <formula>criticalgradient</formula>
    </cfRule>
  </conditionalFormatting>
  <pageMargins left="0.7" right="0.7" top="0.75" bottom="0.75" header="0.3" footer="0.3"/>
  <pageSetup orientation="portrait" horizontalDpi="0" verticalDpi="0" r:id="rId1"/>
  <drawing r:id="rId2"/>
  <legacyDrawing r:id="rId3"/>
  <oleObjects>
    <mc:AlternateContent xmlns:mc="http://schemas.openxmlformats.org/markup-compatibility/2006">
      <mc:Choice Requires="x14">
        <oleObject progId="Equation.3" shapeId="2053" r:id="rId4">
          <objectPr defaultSize="0" autoPict="0" r:id="rId5">
            <anchor moveWithCells="1" sizeWithCells="1">
              <from>
                <xdr:col>31</xdr:col>
                <xdr:colOff>238125</xdr:colOff>
                <xdr:row>2</xdr:row>
                <xdr:rowOff>19050</xdr:rowOff>
              </from>
              <to>
                <xdr:col>34</xdr:col>
                <xdr:colOff>38100</xdr:colOff>
                <xdr:row>5</xdr:row>
                <xdr:rowOff>66675</xdr:rowOff>
              </to>
            </anchor>
          </objectPr>
        </oleObject>
      </mc:Choice>
      <mc:Fallback>
        <oleObject progId="Equation.3" shapeId="2053" r:id="rId4"/>
      </mc:Fallback>
    </mc:AlternateContent>
  </oleObjects>
  <controls>
    <mc:AlternateContent xmlns:mc="http://schemas.openxmlformats.org/markup-compatibility/2006">
      <mc:Choice Requires="x14">
        <control shapeId="2049" r:id="rId6" name="cmdCalculateGradients">
          <controlPr defaultSize="0" autoLine="0" autoPict="0" r:id="rId7">
            <anchor moveWithCells="1">
              <from>
                <xdr:col>1</xdr:col>
                <xdr:colOff>142875</xdr:colOff>
                <xdr:row>2</xdr:row>
                <xdr:rowOff>9525</xdr:rowOff>
              </from>
              <to>
                <xdr:col>5</xdr:col>
                <xdr:colOff>285750</xdr:colOff>
                <xdr:row>4</xdr:row>
                <xdr:rowOff>38100</xdr:rowOff>
              </to>
            </anchor>
          </controlPr>
        </control>
      </mc:Choice>
      <mc:Fallback>
        <control shapeId="2049" r:id="rId6" name="cmdCalculateGradients"/>
      </mc:Fallback>
    </mc:AlternateContent>
    <mc:AlternateContent xmlns:mc="http://schemas.openxmlformats.org/markup-compatibility/2006">
      <mc:Choice Requires="x14">
        <control shapeId="2055" r:id="rId8" name="optRemove">
          <controlPr defaultSize="0" autoLine="0" r:id="rId9">
            <anchor moveWithCells="1">
              <from>
                <xdr:col>8</xdr:col>
                <xdr:colOff>28575</xdr:colOff>
                <xdr:row>3</xdr:row>
                <xdr:rowOff>19050</xdr:rowOff>
              </from>
              <to>
                <xdr:col>14</xdr:col>
                <xdr:colOff>219075</xdr:colOff>
                <xdr:row>4</xdr:row>
                <xdr:rowOff>104775</xdr:rowOff>
              </to>
            </anchor>
          </controlPr>
        </control>
      </mc:Choice>
      <mc:Fallback>
        <control shapeId="2055" r:id="rId8" name="optRemove"/>
      </mc:Fallback>
    </mc:AlternateContent>
    <mc:AlternateContent xmlns:mc="http://schemas.openxmlformats.org/markup-compatibility/2006">
      <mc:Choice Requires="x14">
        <control shapeId="2056" r:id="rId10" name="optHighlight">
          <controlPr defaultSize="0" autoLine="0" r:id="rId11">
            <anchor moveWithCells="1">
              <from>
                <xdr:col>8</xdr:col>
                <xdr:colOff>19050</xdr:colOff>
                <xdr:row>4</xdr:row>
                <xdr:rowOff>104775</xdr:rowOff>
              </from>
              <to>
                <xdr:col>16</xdr:col>
                <xdr:colOff>76200</xdr:colOff>
                <xdr:row>6</xdr:row>
                <xdr:rowOff>28575</xdr:rowOff>
              </to>
            </anchor>
          </controlPr>
        </control>
      </mc:Choice>
      <mc:Fallback>
        <control shapeId="2056" r:id="rId10" name="optHighlight"/>
      </mc:Fallback>
    </mc:AlternateContent>
    <mc:AlternateContent xmlns:mc="http://schemas.openxmlformats.org/markup-compatibility/2006">
      <mc:Choice Requires="x14">
        <control shapeId="2057" r:id="rId12" name="optColorShade">
          <controlPr defaultSize="0" autoLine="0" r:id="rId13">
            <anchor moveWithCells="1">
              <from>
                <xdr:col>8</xdr:col>
                <xdr:colOff>19050</xdr:colOff>
                <xdr:row>6</xdr:row>
                <xdr:rowOff>19050</xdr:rowOff>
              </from>
              <to>
                <xdr:col>15</xdr:col>
                <xdr:colOff>180975</xdr:colOff>
                <xdr:row>7</xdr:row>
                <xdr:rowOff>104775</xdr:rowOff>
              </to>
            </anchor>
          </controlPr>
        </control>
      </mc:Choice>
      <mc:Fallback>
        <control shapeId="2057" r:id="rId12" name="optColorShade"/>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AN34"/>
  <sheetViews>
    <sheetView showGridLines="0" workbookViewId="0">
      <selection activeCell="D27" sqref="D27"/>
    </sheetView>
  </sheetViews>
  <sheetFormatPr defaultRowHeight="12.75" x14ac:dyDescent="0.2"/>
  <cols>
    <col min="3" max="3" width="9.28515625" customWidth="1"/>
  </cols>
  <sheetData>
    <row r="1" spans="1:40" ht="23.25" x14ac:dyDescent="0.35">
      <c r="A1" s="1" t="s">
        <v>15</v>
      </c>
    </row>
    <row r="2" spans="1:40" s="2" customFormat="1" x14ac:dyDescent="0.2"/>
    <row r="3" spans="1:40" s="2" customFormat="1" x14ac:dyDescent="0.2">
      <c r="C3" s="4" t="s">
        <v>10</v>
      </c>
      <c r="D3" s="5">
        <v>0.5</v>
      </c>
      <c r="E3" s="2" t="str">
        <f>"[" &amp; lunit &amp; "/" &amp; tunit &amp; "]"</f>
        <v>[ft/day]</v>
      </c>
    </row>
    <row r="4" spans="1:40" s="2" customFormat="1" x14ac:dyDescent="0.2">
      <c r="C4" s="4" t="s">
        <v>16</v>
      </c>
      <c r="D4" s="5">
        <v>200</v>
      </c>
      <c r="E4" s="2" t="str">
        <f>"[" &amp; lunit &amp; "]"</f>
        <v>[ft]</v>
      </c>
    </row>
    <row r="5" spans="1:40" s="2" customFormat="1" x14ac:dyDescent="0.2">
      <c r="C5" s="4" t="s">
        <v>17</v>
      </c>
      <c r="D5" s="5">
        <v>2</v>
      </c>
      <c r="E5" s="2" t="s">
        <v>18</v>
      </c>
    </row>
    <row r="6" spans="1:40" s="2" customFormat="1" x14ac:dyDescent="0.2"/>
    <row r="7" spans="1:40" s="2" customFormat="1" x14ac:dyDescent="0.2"/>
    <row r="8" spans="1:40" s="2" customFormat="1" x14ac:dyDescent="0.2">
      <c r="B8" s="4" t="s">
        <v>21</v>
      </c>
      <c r="C8" s="13">
        <v>180</v>
      </c>
      <c r="D8" s="13">
        <v>190</v>
      </c>
      <c r="E8" s="13">
        <v>200</v>
      </c>
      <c r="F8" s="13">
        <v>210</v>
      </c>
      <c r="G8" s="13">
        <v>220</v>
      </c>
      <c r="H8" s="13">
        <v>230</v>
      </c>
      <c r="I8" s="13">
        <v>240</v>
      </c>
      <c r="J8" s="5">
        <v>250</v>
      </c>
      <c r="K8" s="5"/>
      <c r="L8" s="5"/>
      <c r="M8" s="5"/>
      <c r="N8" s="5"/>
      <c r="O8" s="5"/>
      <c r="P8" s="5"/>
      <c r="Q8" s="5"/>
      <c r="R8" s="5"/>
      <c r="S8" s="5"/>
      <c r="T8" s="5"/>
      <c r="U8" s="5"/>
      <c r="V8" s="5"/>
    </row>
    <row r="9" spans="1:40" s="2" customFormat="1" x14ac:dyDescent="0.2">
      <c r="B9" s="4" t="s">
        <v>22</v>
      </c>
      <c r="C9" s="13">
        <f>cellsize/2</f>
        <v>5</v>
      </c>
      <c r="D9" s="13">
        <f>cellsize</f>
        <v>10</v>
      </c>
      <c r="E9" s="13">
        <f>cellsize</f>
        <v>10</v>
      </c>
      <c r="F9" s="13">
        <f>cellsize</f>
        <v>10</v>
      </c>
      <c r="G9" s="13">
        <f>cellsize</f>
        <v>10</v>
      </c>
      <c r="H9" s="13">
        <f>cellsize</f>
        <v>10</v>
      </c>
      <c r="I9" s="13">
        <f>cellsize</f>
        <v>10</v>
      </c>
      <c r="J9" s="5">
        <f>cellsize/2</f>
        <v>5</v>
      </c>
      <c r="K9" s="5"/>
      <c r="L9" s="5"/>
      <c r="M9" s="5"/>
      <c r="N9" s="5"/>
      <c r="O9" s="5"/>
      <c r="P9" s="5"/>
      <c r="Q9" s="5"/>
      <c r="R9" s="5"/>
      <c r="S9" s="5"/>
      <c r="T9" s="5"/>
      <c r="U9" s="5"/>
      <c r="V9" s="5"/>
    </row>
    <row r="10" spans="1:40" s="2" customFormat="1" x14ac:dyDescent="0.2">
      <c r="B10" s="4" t="s">
        <v>19</v>
      </c>
      <c r="C10" s="19">
        <f ca="1">(Main!$U$18 - Main!$U$19)/cellsize</f>
        <v>-0.2783382899625863</v>
      </c>
      <c r="D10" s="19">
        <f ca="1">(Main!$V$18 - Main!$V$19)/cellsize</f>
        <v>-0.18780540851055746</v>
      </c>
      <c r="E10" s="19">
        <f ca="1">(Main!$W$18 - Main!$W$19)/cellsize</f>
        <v>-0.14319111462276127</v>
      </c>
      <c r="F10" s="19">
        <f ca="1">(Main!$X$18 - Main!$X$19)/cellsize</f>
        <v>-0.1181950830754758</v>
      </c>
      <c r="G10" s="19">
        <f ca="1">(Main!$Y$18 - Main!$Y$19)/cellsize</f>
        <v>-0.10316789131403041</v>
      </c>
      <c r="H10" s="19">
        <f ca="1">(Main!$Z$18 - Main!$Z$19)/cellsize</f>
        <v>-9.4105937916688726E-2</v>
      </c>
      <c r="I10" s="19">
        <f ca="1">(Main!$AA$18 - Main!$AA$19)/cellsize</f>
        <v>-8.9199554483101906E-2</v>
      </c>
      <c r="J10" s="20">
        <f ca="1">(Main!$AB$18 - Main!$AB$19)/cellsize</f>
        <v>-8.7641661765272258E-2</v>
      </c>
      <c r="K10" s="20"/>
      <c r="L10" s="20"/>
      <c r="M10" s="20"/>
      <c r="N10" s="20"/>
      <c r="O10" s="20"/>
      <c r="P10" s="20"/>
      <c r="Q10" s="20"/>
      <c r="R10" s="20"/>
      <c r="S10" s="20"/>
      <c r="T10" s="20"/>
      <c r="U10" s="20"/>
      <c r="V10" s="20"/>
      <c r="W10" s="15"/>
      <c r="X10" s="15"/>
      <c r="Y10" s="15"/>
      <c r="Z10" s="15"/>
      <c r="AA10" s="15"/>
      <c r="AB10" s="15"/>
      <c r="AC10" s="15"/>
      <c r="AD10" s="15"/>
      <c r="AE10" s="15"/>
      <c r="AF10" s="15"/>
      <c r="AG10" s="15"/>
      <c r="AH10" s="15"/>
      <c r="AI10" s="15"/>
      <c r="AJ10" s="15"/>
      <c r="AK10" s="15"/>
      <c r="AL10" s="15"/>
      <c r="AM10" s="15"/>
      <c r="AN10" s="15"/>
    </row>
    <row r="11" spans="1:40" s="2" customFormat="1" x14ac:dyDescent="0.2">
      <c r="B11" s="4" t="s">
        <v>23</v>
      </c>
      <c r="C11" s="19">
        <f ca="1">k*C10</f>
        <v>-0.13916914498129315</v>
      </c>
      <c r="D11" s="19">
        <f ca="1">k*D10</f>
        <v>-9.3902704255278732E-2</v>
      </c>
      <c r="E11" s="19">
        <f ca="1">k*E10</f>
        <v>-7.1595557311380634E-2</v>
      </c>
      <c r="F11" s="19">
        <f ca="1">k*F10</f>
        <v>-5.9097541537737899E-2</v>
      </c>
      <c r="G11" s="19">
        <f ca="1">k*G10</f>
        <v>-5.1583945657015205E-2</v>
      </c>
      <c r="H11" s="19">
        <f ca="1">k*H10</f>
        <v>-4.7052968958344363E-2</v>
      </c>
      <c r="I11" s="19">
        <f ca="1">k*I10</f>
        <v>-4.4599777241550953E-2</v>
      </c>
      <c r="J11" s="20">
        <f ca="1">k*J10</f>
        <v>-4.3820830882636129E-2</v>
      </c>
      <c r="K11" s="20"/>
      <c r="L11" s="20"/>
      <c r="M11" s="20"/>
      <c r="N11" s="20"/>
      <c r="O11" s="20"/>
      <c r="P11" s="20"/>
      <c r="Q11" s="20"/>
      <c r="R11" s="20"/>
      <c r="S11" s="20"/>
      <c r="T11" s="20"/>
      <c r="U11" s="20"/>
      <c r="V11" s="20"/>
      <c r="W11" s="15"/>
      <c r="X11" s="15"/>
      <c r="Y11" s="15"/>
      <c r="Z11" s="15"/>
      <c r="AA11" s="15"/>
      <c r="AB11" s="15"/>
      <c r="AC11" s="15"/>
      <c r="AD11" s="15"/>
      <c r="AE11" s="15"/>
      <c r="AF11" s="15"/>
      <c r="AG11" s="15"/>
      <c r="AH11" s="15"/>
      <c r="AI11" s="15"/>
      <c r="AJ11" s="15"/>
      <c r="AK11" s="15"/>
      <c r="AL11" s="15"/>
      <c r="AM11" s="15"/>
      <c r="AN11" s="15"/>
    </row>
    <row r="12" spans="1:40" s="2" customFormat="1" x14ac:dyDescent="0.2">
      <c r="B12" s="4" t="s">
        <v>20</v>
      </c>
      <c r="C12" s="19">
        <f ca="1">C9*C11</f>
        <v>-0.69584572490646579</v>
      </c>
      <c r="D12" s="19">
        <f ca="1">D9*D11</f>
        <v>-0.93902704255278735</v>
      </c>
      <c r="E12" s="19">
        <f ca="1">E9*E11</f>
        <v>-0.71595557311380631</v>
      </c>
      <c r="F12" s="19">
        <f ca="1">F9*F11</f>
        <v>-0.59097541537737897</v>
      </c>
      <c r="G12" s="19">
        <f ca="1">G9*G11</f>
        <v>-0.51583945657015207</v>
      </c>
      <c r="H12" s="19">
        <f ca="1">H9*H11</f>
        <v>-0.47052968958344366</v>
      </c>
      <c r="I12" s="19">
        <f ca="1">I9*I11</f>
        <v>-0.44599777241550953</v>
      </c>
      <c r="J12" s="20">
        <f ca="1">J9*J11</f>
        <v>-0.21910415441318065</v>
      </c>
      <c r="K12" s="20"/>
      <c r="L12" s="20"/>
      <c r="M12" s="20"/>
      <c r="N12" s="20"/>
      <c r="O12" s="20"/>
      <c r="P12" s="20"/>
      <c r="Q12" s="20"/>
      <c r="R12" s="20"/>
      <c r="S12" s="20"/>
      <c r="T12" s="20"/>
      <c r="U12" s="20"/>
      <c r="V12" s="20"/>
      <c r="W12" s="15"/>
      <c r="X12" s="15"/>
      <c r="Y12" s="15"/>
      <c r="Z12" s="15"/>
      <c r="AA12" s="15"/>
      <c r="AB12" s="15"/>
      <c r="AC12" s="15"/>
      <c r="AD12" s="15"/>
      <c r="AE12" s="15"/>
      <c r="AF12" s="15"/>
      <c r="AG12" s="15"/>
      <c r="AH12" s="15"/>
      <c r="AI12" s="15"/>
      <c r="AJ12" s="15"/>
      <c r="AK12" s="15"/>
      <c r="AL12" s="15"/>
      <c r="AM12" s="15"/>
      <c r="AN12" s="15"/>
    </row>
    <row r="13" spans="1:40" s="2" customFormat="1" x14ac:dyDescent="0.2">
      <c r="B13" s="4"/>
    </row>
    <row r="14" spans="1:40" s="2" customFormat="1" x14ac:dyDescent="0.2">
      <c r="B14" s="18" t="s">
        <v>24</v>
      </c>
      <c r="C14" s="21">
        <f ca="1">SUM(C12:J12)</f>
        <v>-4.5932748289327243</v>
      </c>
      <c r="D14" s="2" t="str">
        <f>"["&amp;lunit&amp;"^3/"&amp;tunit&amp;"/"&amp;lunit&amp;"]"</f>
        <v>[ft^3/day/ft]</v>
      </c>
    </row>
    <row r="15" spans="1:40" s="2" customFormat="1" x14ac:dyDescent="0.2">
      <c r="B15" s="18" t="s">
        <v>0</v>
      </c>
      <c r="C15" s="22">
        <f ca="1">unitq*length</f>
        <v>-918.65496578654484</v>
      </c>
      <c r="D15" s="2" t="str">
        <f>"["&amp;lunit&amp;"^3/"&amp;tunit&amp;"]"</f>
        <v>[ft^3/day]</v>
      </c>
    </row>
    <row r="16" spans="1:40" s="2" customFormat="1" x14ac:dyDescent="0.2"/>
    <row r="17" s="2" customFormat="1" x14ac:dyDescent="0.2"/>
    <row r="18" s="2" customFormat="1" x14ac:dyDescent="0.2"/>
    <row r="19" s="2" customFormat="1" x14ac:dyDescent="0.2"/>
    <row r="20" s="2" customFormat="1" x14ac:dyDescent="0.2"/>
    <row r="21" s="2" customFormat="1" x14ac:dyDescent="0.2"/>
    <row r="22" s="2" customFormat="1" x14ac:dyDescent="0.2"/>
    <row r="23" s="2" customFormat="1" x14ac:dyDescent="0.2"/>
    <row r="24" s="2" customFormat="1" x14ac:dyDescent="0.2"/>
    <row r="25" s="2" customFormat="1" x14ac:dyDescent="0.2"/>
    <row r="26" s="2" customFormat="1" x14ac:dyDescent="0.2"/>
    <row r="27" s="2" customFormat="1" x14ac:dyDescent="0.2"/>
    <row r="28" s="2" customFormat="1" x14ac:dyDescent="0.2"/>
    <row r="29" s="2" customFormat="1" x14ac:dyDescent="0.2"/>
    <row r="30" s="2" customFormat="1" x14ac:dyDescent="0.2"/>
    <row r="31" s="2" customFormat="1" x14ac:dyDescent="0.2"/>
    <row r="32" s="2" customFormat="1" x14ac:dyDescent="0.2"/>
    <row r="33" s="2" customFormat="1" x14ac:dyDescent="0.2"/>
    <row r="34" s="2" customFormat="1" x14ac:dyDescent="0.2"/>
  </sheetData>
  <phoneticPr fontId="1" type="noConversion"/>
  <pageMargins left="0.75" right="0.75" top="1" bottom="1" header="0.5" footer="0.5"/>
  <pageSetup orientation="portrait" horizontalDpi="0" verticalDpi="0" r:id="rId1"/>
  <headerFooter alignWithMargins="0"/>
  <drawing r:id="rId2"/>
  <legacyDrawing r:id="rId3"/>
  <controls>
    <mc:AlternateContent xmlns:mc="http://schemas.openxmlformats.org/markup-compatibility/2006">
      <mc:Choice Requires="x14">
        <control shapeId="3073" r:id="rId4" name="cmdCalculateFlowRate">
          <controlPr defaultSize="0" autoLine="0" r:id="rId5">
            <anchor moveWithCells="1">
              <from>
                <xdr:col>6</xdr:col>
                <xdr:colOff>19050</xdr:colOff>
                <xdr:row>2</xdr:row>
                <xdr:rowOff>76200</xdr:rowOff>
              </from>
              <to>
                <xdr:col>8</xdr:col>
                <xdr:colOff>28575</xdr:colOff>
                <xdr:row>4</xdr:row>
                <xdr:rowOff>38100</xdr:rowOff>
              </to>
            </anchor>
          </controlPr>
        </control>
      </mc:Choice>
      <mc:Fallback>
        <control shapeId="3073" r:id="rId4" name="cmdCalculateFlowRate"/>
      </mc:Fallback>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18</vt:i4>
      </vt:variant>
    </vt:vector>
  </HeadingPairs>
  <TitlesOfParts>
    <vt:vector size="21" baseType="lpstr">
      <vt:lpstr>Main</vt:lpstr>
      <vt:lpstr>Gradient</vt:lpstr>
      <vt:lpstr>Flow Rate</vt:lpstr>
      <vt:lpstr>activecolor</vt:lpstr>
      <vt:lpstr>arrowcolor</vt:lpstr>
      <vt:lpstr>arrowsize</vt:lpstr>
      <vt:lpstr>backgroundcolor</vt:lpstr>
      <vt:lpstr>cellsize</vt:lpstr>
      <vt:lpstr>criticalgradient</vt:lpstr>
      <vt:lpstr>flowboundaryselection</vt:lpstr>
      <vt:lpstr>H_1</vt:lpstr>
      <vt:lpstr>H_2</vt:lpstr>
      <vt:lpstr>h1color</vt:lpstr>
      <vt:lpstr>h2color</vt:lpstr>
      <vt:lpstr>k</vt:lpstr>
      <vt:lpstr>length</vt:lpstr>
      <vt:lpstr>lunit</vt:lpstr>
      <vt:lpstr>problemdomain</vt:lpstr>
      <vt:lpstr>totalq</vt:lpstr>
      <vt:lpstr>tunit</vt:lpstr>
      <vt:lpstr>unitq</vt:lpstr>
    </vt:vector>
  </TitlesOfParts>
  <Company>Brigham Young University</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Norm Jones</dc:creator>
  <cp:lastModifiedBy>Norm Jones</cp:lastModifiedBy>
  <dcterms:created xsi:type="dcterms:W3CDTF">2003-03-27T04:15:50Z</dcterms:created>
  <dcterms:modified xsi:type="dcterms:W3CDTF">2011-09-27T22:17:44Z</dcterms:modified>
</cp:coreProperties>
</file>