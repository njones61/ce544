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2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temp/"/>
    </mc:Choice>
  </mc:AlternateContent>
  <xr:revisionPtr revIDLastSave="0" documentId="13_ncr:1_{74D79CE5-E3B2-E942-8AD4-E870F2FAD290}" xr6:coauthVersionLast="47" xr6:coauthVersionMax="47" xr10:uidLastSave="{00000000-0000-0000-0000-000000000000}"/>
  <bookViews>
    <workbookView xWindow="6400" yWindow="3500" windowWidth="34200" windowHeight="20240" activeTab="2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<sst xmlns="http://schemas.openxmlformats.org/spreadsheetml/2006/main" count="278" uniqueCount="154">
  <si>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</si>
  <si>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</si>
  <si>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</si>
  <si>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</si>
  <si>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</si>
  <si>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</si>
  <si>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</si>
  <si>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</si>
  <si>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</si>
  <si>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</si>
  <si>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</si>
  <si>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</si>
  <si>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</si>
  <si>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</si>
  <si>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</si>
  <si>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</si>
  <si>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</si>
  <si>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</si>
  <si>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</si>
  <si>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</si>
  <si>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</si>
  <si>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</si>
  <si>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</si>
  <si>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</si>
  <si>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</si>
  <si>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</si>
  <si>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</si>
  <si>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</si>
  <si>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</si>
  <si>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</si>
  <si>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</si>
  <si>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</si>
  <si>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</si>
  <si>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</si>
  <si>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</si>
  <si>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</si>
  <si>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</si>
  <si>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</si>
  <si>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</si>
  <si>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</si>
  <si>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</si>
  <si>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</si>
  <si>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</si>
  <si>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</si>
  <si>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</si>
  <si>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</si>
  <si>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</si>
  <si>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</si>
  <si>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</si>
  <si>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</si>
  <si>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</si>
  <si>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</si>
  <si>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</si>
  <si>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</si>
  <si>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</si>
  <si>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</si>
  <si>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</si>
  <si>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</si>
  <si>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</si>
  <si>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</si>
  <si>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</si>
  <si>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</si>
  <si>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</si>
  <si>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</si>
  <si>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</si>
  <si>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</si>
  <si>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</si>
  <si>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</si>
  <si>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</si>
  <si>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</si>
  <si>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</si>
  <si>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</si>
  <si>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</si>
  <si>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</si>
  <si>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</si>
  <si>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</si>
  <si>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</si>
  <si>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</si>
  <si>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</si>
  <si>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</si>
  <si>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</si>
  <si>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</si>
  <si>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</si>
  <si>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</si>
  <si>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</si>
  <si>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</si>
  <si>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</si>
  <si>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</si>
  <si>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</si>
  <si>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</si>
  <si>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</si>
  <si>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</si>
  <si>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</si>
  <si>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</si>
  <si>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</si>
  <si>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</si>
  <si>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</si>
  <si>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</si>
  <si>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</si>
  <si>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</si>
  <si>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</si>
  <si>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</si>
  <si>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</si>
  <si>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</si>
  <si>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</si>
  <si>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</si>
  <si>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</si>
  <si>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</si>
  <si>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</si>
  <si>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</si>
  <si>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</si>
  <si>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</si>
  <si>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</si>
  <si>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</si>
  <si>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</si>
  <si>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</si>
  <si>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</si>
  <si>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</si>
  <si>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</si>
  <si>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</si>
  <si>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</si>
  <si>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</si>
  <si>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</si>
  <si>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</si>
  <si>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</si>
  <si>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</si>
  <si>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</si>
  <si>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</si>
  <si>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</si>
  <si>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</si>
  <si>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</si>
  <si>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</si>
  <si>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</si>
  <si>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</si>
  <si>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</si>
  <si>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</si>
  <si>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</si>
  <si>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</si>
  <si>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</si>
  <si>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</si>
  <si>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</si>
  <si>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</si>
  <si>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</si>
  <si>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</si>
  <si>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</si>
  <si>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</si>
  <si>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</si>
  <si>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</si>
  <si>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</si>
  <si>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</si>
  <si>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</si>
  <si>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soil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</si>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</sst>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-50</c:v>
                </c:pt>
                <c:pt idx="1">
                  <c:v>0</c:v>
                </c:pt>
                <c:pt idx="2">
                  <c:v>40</c:v>
                </c:pt>
                <c:pt idx="3">
                  <c:v>140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20</c:v>
                </c:pt>
                <c:pt idx="3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zoomScale="140" zoomScaleNormal="140" workbookViewId="0">
      <selection activeCell="D25" sqref="D25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99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9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119</v>
      </c>
      <c r="G8" t="s">
        <v>120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121</v>
      </c>
      <c r="G15" t="s">
        <v>123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96</v>
      </c>
      <c r="G17" s="9" t="s">
        <v>125</v>
      </c>
    </row>
    <row r="18" spans="2:7" x14ac:dyDescent="0.2">
      <c r="F18" s="1" t="s">
        <v>122</v>
      </c>
      <c r="G18" s="9" t="s">
        <v>124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tabSelected="1" zoomScale="140" zoomScaleNormal="140" workbookViewId="0">
      <selection activeCell="B28" sqref="B28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85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88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89</v>
      </c>
      <c r="K5" s="9" t="s">
        <v>87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93</v>
      </c>
      <c r="S7" s="44"/>
      <c r="T7" s="44"/>
      <c r="U7" s="44"/>
      <c r="V7" s="44"/>
      <c r="W7" s="44" t="s">
        <v>100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1" t="s">
        <v>152</v>
      </c>
      <c r="K8" s="21" t="s">
        <v>86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81</v>
      </c>
      <c r="Q8" s="23" t="s">
        <v>153</v>
      </c>
      <c r="R8" s="25" t="s">
        <v>90</v>
      </c>
      <c r="S8" s="25" t="s">
        <v>91</v>
      </c>
      <c r="T8" s="25" t="s">
        <v>92</v>
      </c>
      <c r="U8" s="25" t="s">
        <v>97</v>
      </c>
      <c r="V8" s="25" t="s">
        <v>98</v>
      </c>
      <c r="W8" s="29" t="s">
        <v>101</v>
      </c>
      <c r="X8" s="30" t="s">
        <v>102</v>
      </c>
    </row>
    <row r="9" spans="1:24" x14ac:dyDescent="0.2">
      <c r="A9" s="3">
        <v>1</v>
      </c>
      <c r="B9" s="3" t="s">
        <v>151</v>
      </c>
      <c r="C9" s="3">
        <v>130</v>
      </c>
      <c r="D9" s="3" t="s">
        <v>67</v>
      </c>
      <c r="E9" s="3">
        <v>400</v>
      </c>
      <c r="F9" s="3">
        <v>0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F9:F50">
    <cfRule type="expression" dxfId="8" priority="3">
      <formula>$D9="cp"</formula>
    </cfRule>
  </conditionalFormatting>
  <conditionalFormatting sqref="G9:H50">
    <cfRule type="expression" dxfId="7" priority="2">
      <formula>$D9="mc"</formula>
    </cfRule>
  </conditionalFormatting>
  <conditionalFormatting sqref="I9:J50">
    <cfRule type="expression" dxfId="6" priority="4">
      <formula>$D9="cp"</formula>
    </cfRule>
  </conditionalFormatting>
  <conditionalFormatting sqref="N9:N50">
    <cfRule type="expression" dxfId="5" priority="6">
      <formula>$D9="cp"</formula>
    </cfRule>
  </conditionalFormatting>
  <conditionalFormatting sqref="O9:O50">
    <cfRule type="expression" dxfId="4" priority="13">
      <formula>$D9="mc"</formula>
    </cfRule>
  </conditionalFormatting>
  <conditionalFormatting sqref="P9:Q50">
    <cfRule type="expression" dxfId="3" priority="8">
      <formula>$D9="cp"</formula>
    </cfRule>
  </conditionalFormatting>
  <dataValidations count="2">
    <dataValidation type="list" allowBlank="1" showInputMessage="1" showErrorMessage="1" sqref="D9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-10</v>
      </c>
      <c r="D2" s="27" t="s">
        <v>94</v>
      </c>
    </row>
    <row r="4" spans="1:44" x14ac:dyDescent="0.2">
      <c r="A4" s="45" t="s">
        <v>2</v>
      </c>
      <c r="B4" s="45"/>
      <c r="D4" s="45" t="s">
        <v>5</v>
      </c>
      <c r="E4" s="45"/>
      <c r="G4" s="45" t="s">
        <v>6</v>
      </c>
      <c r="H4" s="45"/>
      <c r="J4" s="45" t="s">
        <v>7</v>
      </c>
      <c r="K4" s="45"/>
      <c r="M4" s="45" t="s">
        <v>8</v>
      </c>
      <c r="N4" s="45"/>
      <c r="P4" s="45" t="s">
        <v>9</v>
      </c>
      <c r="Q4" s="45"/>
      <c r="R4" s="1"/>
      <c r="S4" s="45" t="s">
        <v>10</v>
      </c>
      <c r="T4" s="45"/>
      <c r="U4" s="1"/>
      <c r="V4" s="45" t="s">
        <v>11</v>
      </c>
      <c r="W4" s="45"/>
      <c r="X4" s="1"/>
      <c r="Y4" s="45" t="s">
        <v>12</v>
      </c>
      <c r="Z4" s="45"/>
      <c r="AA4" s="1"/>
      <c r="AB4" s="45" t="s">
        <v>13</v>
      </c>
      <c r="AC4" s="45"/>
      <c r="AE4" s="45" t="s">
        <v>114</v>
      </c>
      <c r="AF4" s="45"/>
      <c r="AG4" s="1"/>
      <c r="AH4" s="45" t="s">
        <v>115</v>
      </c>
      <c r="AI4" s="45"/>
      <c r="AJ4" s="1"/>
      <c r="AK4" s="45" t="s">
        <v>116</v>
      </c>
      <c r="AL4" s="45"/>
      <c r="AM4" s="1"/>
      <c r="AN4" s="45" t="s">
        <v>117</v>
      </c>
      <c r="AO4" s="45"/>
      <c r="AP4" s="1"/>
      <c r="AQ4" s="45" t="s">
        <v>118</v>
      </c>
      <c r="AR4" s="45"/>
    </row>
    <row r="5" spans="1:44" x14ac:dyDescent="0.2">
      <c r="A5" s="41" t="s">
        <v>126</v>
      </c>
      <c r="B5" s="42">
        <v>1</v>
      </c>
      <c r="D5" s="41" t="s">
        <v>126</v>
      </c>
      <c r="E5" s="42">
        <v>2</v>
      </c>
      <c r="G5" s="41" t="s">
        <v>126</v>
      </c>
      <c r="H5" s="42">
        <v>3</v>
      </c>
      <c r="J5" s="41" t="s">
        <v>126</v>
      </c>
      <c r="K5" s="42">
        <v>4</v>
      </c>
      <c r="M5" s="41" t="s">
        <v>126</v>
      </c>
      <c r="N5" s="42">
        <v>5</v>
      </c>
      <c r="P5" s="41" t="s">
        <v>126</v>
      </c>
      <c r="Q5" s="42">
        <v>6</v>
      </c>
      <c r="R5" s="1"/>
      <c r="S5" s="41" t="s">
        <v>126</v>
      </c>
      <c r="T5" s="42">
        <v>7</v>
      </c>
      <c r="U5" s="1"/>
      <c r="V5" s="41" t="s">
        <v>126</v>
      </c>
      <c r="W5" s="42">
        <v>8</v>
      </c>
      <c r="X5" s="1"/>
      <c r="Y5" s="41" t="s">
        <v>126</v>
      </c>
      <c r="Z5" s="42">
        <v>9</v>
      </c>
      <c r="AA5" s="1"/>
      <c r="AB5" s="41" t="s">
        <v>126</v>
      </c>
      <c r="AC5" s="42">
        <v>10</v>
      </c>
      <c r="AE5" s="41" t="s">
        <v>126</v>
      </c>
      <c r="AF5" s="42">
        <v>11</v>
      </c>
      <c r="AG5" s="1"/>
      <c r="AH5" s="41" t="s">
        <v>126</v>
      </c>
      <c r="AI5" s="42">
        <v>12</v>
      </c>
      <c r="AJ5" s="1"/>
      <c r="AK5" s="41" t="s">
        <v>126</v>
      </c>
      <c r="AL5" s="42">
        <v>13</v>
      </c>
      <c r="AM5" s="1"/>
      <c r="AN5" s="41" t="s">
        <v>126</v>
      </c>
      <c r="AO5" s="42">
        <v>14</v>
      </c>
      <c r="AP5" s="1"/>
      <c r="AQ5" s="41" t="s">
        <v>126</v>
      </c>
      <c r="AR5" s="42">
        <v>15</v>
      </c>
    </row>
    <row r="6" spans="1:44" x14ac:dyDescent="0.2">
      <c r="A6" s="46" t="str">
        <f>_xlfn.XLOOKUP(B5,mat!$A:$A, mat!$B:$B,"") &amp; ""</f>
        <v>soil</v>
      </c>
      <c r="B6" s="47"/>
      <c r="D6" s="46" t="str">
        <f>_xlfn.XLOOKUP(E5,mat!$A:$A, mat!$B:$B,"") &amp; ""</f>
        <v/>
      </c>
      <c r="E6" s="47"/>
      <c r="G6" s="46" t="str">
        <f>_xlfn.XLOOKUP(H5,mat!$A:$A, mat!$B:$B,"") &amp; ""</f>
        <v/>
      </c>
      <c r="H6" s="47"/>
      <c r="J6" s="46" t="str">
        <f>_xlfn.XLOOKUP(K5,mat!$A:$A, mat!$B:$B,"") &amp; ""</f>
        <v/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-50</v>
      </c>
      <c r="B8" s="3">
        <v>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0</v>
      </c>
      <c r="B9" s="3">
        <v>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40</v>
      </c>
      <c r="B10" s="3">
        <v>20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140</v>
      </c>
      <c r="B11" s="3">
        <v>20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84</v>
      </c>
      <c r="B2" s="48"/>
      <c r="D2" s="49" t="s">
        <v>82</v>
      </c>
      <c r="E2" s="49"/>
      <c r="G2" s="24" t="s">
        <v>83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D22" sqref="D22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20</v>
      </c>
      <c r="C3" s="3">
        <v>40</v>
      </c>
      <c r="D3" s="3" t="s">
        <v>26</v>
      </c>
      <c r="E3" s="3">
        <v>-10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127</v>
      </c>
      <c r="C2" s="50"/>
      <c r="D2" s="50"/>
      <c r="F2" s="50" t="s">
        <v>128</v>
      </c>
      <c r="G2" s="50"/>
      <c r="H2" s="50"/>
      <c r="J2" s="50" t="s">
        <v>129</v>
      </c>
      <c r="K2" s="50"/>
      <c r="L2" s="50"/>
      <c r="N2" s="50" t="s">
        <v>130</v>
      </c>
      <c r="O2" s="50"/>
      <c r="P2" s="50"/>
      <c r="R2" s="50" t="s">
        <v>131</v>
      </c>
      <c r="S2" s="50"/>
      <c r="T2" s="50"/>
      <c r="V2" s="50" t="s">
        <v>132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145</v>
      </c>
      <c r="C2" s="51"/>
      <c r="D2" s="51"/>
      <c r="F2" s="51" t="s">
        <v>146</v>
      </c>
      <c r="G2" s="51"/>
      <c r="H2" s="51"/>
      <c r="J2" s="51" t="s">
        <v>147</v>
      </c>
      <c r="K2" s="51"/>
      <c r="L2" s="51"/>
      <c r="N2" s="51" t="s">
        <v>148</v>
      </c>
      <c r="O2" s="51"/>
      <c r="P2" s="51"/>
      <c r="R2" s="51" t="s">
        <v>149</v>
      </c>
      <c r="S2" s="51"/>
      <c r="T2" s="51"/>
      <c r="V2" s="51" t="s">
        <v>150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L25" sqref="L25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103</v>
      </c>
      <c r="C2" s="12" t="s">
        <v>104</v>
      </c>
      <c r="D2" s="12" t="s">
        <v>105</v>
      </c>
      <c r="E2" s="12" t="s">
        <v>106</v>
      </c>
      <c r="F2" s="32" t="s">
        <v>108</v>
      </c>
      <c r="G2" s="33" t="s">
        <v>113</v>
      </c>
      <c r="H2" s="32" t="s">
        <v>111</v>
      </c>
      <c r="I2" s="32" t="s">
        <v>112</v>
      </c>
      <c r="J2" s="33" t="s">
        <v>101</v>
      </c>
      <c r="K2" s="33" t="s">
        <v>107</v>
      </c>
    </row>
    <row r="3" spans="1:11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</row>
    <row r="4" spans="1:11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</row>
    <row r="5" spans="1:11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</row>
    <row r="6" spans="1:11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</row>
    <row r="7" spans="1:11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</row>
    <row r="8" spans="1:11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110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109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138</v>
      </c>
      <c r="C2" s="52"/>
      <c r="E2" s="48" t="s">
        <v>133</v>
      </c>
      <c r="F2" s="48"/>
      <c r="H2" s="48" t="s">
        <v>134</v>
      </c>
      <c r="I2" s="48"/>
      <c r="K2" s="48" t="s">
        <v>135</v>
      </c>
      <c r="L2" s="48"/>
      <c r="N2" s="48" t="s">
        <v>136</v>
      </c>
      <c r="O2" s="48"/>
      <c r="Q2" s="48" t="s">
        <v>137</v>
      </c>
      <c r="R2" s="48"/>
    </row>
    <row r="3" spans="2:18" x14ac:dyDescent="0.2">
      <c r="B3" s="52"/>
      <c r="C3" s="52"/>
      <c r="E3" s="37" t="s">
        <v>95</v>
      </c>
      <c r="F3" s="38"/>
      <c r="H3" s="37" t="s">
        <v>95</v>
      </c>
      <c r="I3" s="38"/>
      <c r="K3" s="37" t="s">
        <v>95</v>
      </c>
      <c r="L3" s="38"/>
      <c r="N3" s="37" t="s">
        <v>95</v>
      </c>
      <c r="O3" s="38"/>
      <c r="Q3" s="37" t="s">
        <v>95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140</v>
      </c>
      <c r="C2" s="53"/>
      <c r="E2" s="49" t="s">
        <v>139</v>
      </c>
      <c r="F2" s="49"/>
      <c r="H2" s="49" t="s">
        <v>141</v>
      </c>
      <c r="I2" s="49"/>
      <c r="K2" s="49" t="s">
        <v>142</v>
      </c>
      <c r="L2" s="49"/>
      <c r="N2" s="49" t="s">
        <v>143</v>
      </c>
      <c r="O2" s="49"/>
      <c r="Q2" s="49" t="s">
        <v>144</v>
      </c>
      <c r="R2" s="49"/>
    </row>
    <row r="3" spans="2:18" x14ac:dyDescent="0.2">
      <c r="B3" s="53"/>
      <c r="C3" s="53"/>
      <c r="E3" s="39" t="s">
        <v>95</v>
      </c>
      <c r="F3" s="40"/>
      <c r="H3" s="39" t="s">
        <v>95</v>
      </c>
      <c r="I3" s="40"/>
      <c r="K3" s="39" t="s">
        <v>95</v>
      </c>
      <c r="L3" s="40"/>
      <c r="N3" s="39" t="s">
        <v>95</v>
      </c>
      <c r="O3" s="40"/>
      <c r="Q3" s="39" t="s">
        <v>95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2026-03-13T14:55:10Z</dcterms:modified>
</cp:coreProperties>
</file>