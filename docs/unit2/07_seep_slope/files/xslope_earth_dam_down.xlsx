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njones/python_projects/ce544/docs/unit2/07_seep_slope/files/"/>
    </mc:Choice>
  </mc:AlternateContent>
  <xr:revisionPtr revIDLastSave="0" documentId="13_ncr:1_{DD344352-2E70-CC4C-A069-955A3C3B44DB}" xr6:coauthVersionLast="47" xr6:coauthVersionMax="47" xr10:uidLastSave="{00000000-0000-0000-0000-000000000000}"/>
  <bookViews>
    <workbookView xWindow="27900" yWindow="3320" windowWidth="34200" windowHeight="20240" activeTab="3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iezo" sheetId="4" r:id="rId5"/>
    <sheet name="circles" sheetId="5" r:id="rId6"/>
    <sheet name="non-circ" sheetId="7" r:id="rId7"/>
    <sheet name="dloads" sheetId="8" r:id="rId8"/>
    <sheet name="dloads (2)" sheetId="13" r:id="rId9"/>
    <sheet name="reinforce" sheetId="12" r:id="rId10"/>
    <sheet name="seep bc" sheetId="11" r:id="rId11"/>
    <sheet name="seep bc (2)" sheetId="14" r:id="rId12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6" i="2" l="1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<sst xmlns="http://schemas.openxmlformats.org/spreadsheetml/2006/main" count="289" uniqueCount="157">
  <si>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</si>
  <si>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</si>
  <si>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</si>
  <si>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</si>
  <si>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</si>
  <si>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</si>
  <si>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</si>
  <si>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</si>
  <si>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</si>
  <si>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</si>
  <si>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</si>
  <si>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</si>
  <si>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</si>
  <si>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</si>
  <si>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</si>
  <si>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</si>
  <si>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</si>
  <si>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</si>
  <si>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</si>
  <si>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</si>
  <si>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</si>
  <si>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</si>
  <si>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</si>
  <si>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</si>
  <si>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</si>
  <si>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</si>
  <si>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</si>
  <si>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</si>
  <si>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</si>
  <si>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</si>
  <si>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</si>
  <si>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</si>
  <si>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</si>
  <si>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</si>
  <si>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</si>
  <si>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</si>
  <si>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</si>
  <si>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</si>
  <si>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</si>
  <si>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</si>
  <si>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</si>
  <si>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</si>
  <si>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</si>
  <si>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</si>
  <si>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</si>
  <si>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</si>
  <si>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</si>
  <si>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</si>
  <si>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</si>
  <si>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</si>
  <si>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</si>
  <si>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</si>
  <si>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</si>
  <si>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</si>
  <si>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</si>
  <si>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</si>
  <si>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</si>
  <si>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</si>
  <si>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</si>
  <si>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</si>
  <si>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</si>
  <si>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</si>
  <si>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</si>
  <si>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</si>
  <si>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</si>
  <si>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</si>
  <si>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</si>
  <si>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</si>
  <si>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</si>
  <si>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</si>
  <si>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</si>
  <si>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</si>
  <si>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</si>
  <si>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</si>
  <si>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</si>
  <si>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</si>
  <si>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</si>
  <si>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</si>
  <si>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</si>
  <si>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</si>
  <si>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</si>
  <si>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</si>
  <si>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</si>
  <si>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</si>
  <si>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</si>
  <si>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</si>
  <si>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</si>
  <si>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</si>
  <si>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</si>
  <si>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</si>
  <si>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</si>
  <si>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</si>
  <si>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</si>
  <si>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</si>
  <si>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</si>
  <si>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</si>
  <si>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</si>
  <si>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</si>
  <si>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</si>
  <si>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</si>
  <si>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</si>
  <si>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</si>
  <si>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</si>
  <si>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</si>
  <si>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</si>
  <si>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</si>
  <si>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</si>
  <si>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</si>
  <si>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</si>
  <si>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</si>
  <si>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</si>
  <si>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</si>
  <si>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</si>
  <si>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</si>
  <si>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</si>
  <si>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</si>
  <si>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</si>
  <si>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</si>
  <si>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</si>
  <si>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</si>
  <si>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</si>
  <si>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</si>
  <si>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</si>
  <si>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</si>
  <si>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</si>
  <si>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</si>
  <si>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</si>
  <si>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</si>
  <si>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</si>
  <si>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</si>
  <si>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</si>
  <si>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</si>
  <si>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</si>
  <si>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</si>
  <si>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</si>
  <si>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</si>
  <si>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</si>
  <si>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</si>
  <si>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</si>
  <si>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</si>
  <si>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</si>
  <si>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</si>
  <si>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</si>
  <si>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</si>
  <si>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</si>
  <si>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</si>
  <si>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</si>
  <si>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</si>
  <si>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</si>
  <si>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</si>
  <si>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</si>
  <si>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</si>
  <si>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</si>
  <si>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Shell</t>
  </si>
  <si>
    <t>Core</t>
  </si>
  <si>
    <t>Clay</t>
  </si>
  <si>
    <t>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</si>
</sst>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  <c:pt idx="0">
                  <c:v>0</c:v>
                </c:pt>
                <c:pt idx="1">
                  <c:v>270</c:v>
                </c:pt>
                <c:pt idx="2">
                  <c:v>320</c:v>
                </c:pt>
                <c:pt idx="3">
                  <c:v>590</c:v>
                </c:pt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  <c:pt idx="0">
                  <c:v>227</c:v>
                </c:pt>
                <c:pt idx="1">
                  <c:v>317</c:v>
                </c:pt>
                <c:pt idx="2">
                  <c:v>317</c:v>
                </c:pt>
                <c:pt idx="3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  <c:pt idx="0">
                  <c:v>240</c:v>
                </c:pt>
                <c:pt idx="1">
                  <c:v>280</c:v>
                </c:pt>
                <c:pt idx="2">
                  <c:v>310</c:v>
                </c:pt>
                <c:pt idx="3">
                  <c:v>350</c:v>
                </c:pt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  <c:pt idx="0">
                  <c:v>227</c:v>
                </c:pt>
                <c:pt idx="1">
                  <c:v>307</c:v>
                </c:pt>
                <c:pt idx="2">
                  <c:v>307</c:v>
                </c:pt>
                <c:pt idx="3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  <c:pt idx="0">
                  <c:v>-150</c:v>
                </c:pt>
                <c:pt idx="1">
                  <c:v>740</c:v>
                </c:pt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  <c:pt idx="0">
                  <c:v>227</c:v>
                </c:pt>
                <c:pt idx="1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  <c:pt idx="0">
                  <c:v>-150</c:v>
                </c:pt>
                <c:pt idx="1">
                  <c:v>740</c:v>
                </c:pt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  <c:pt idx="0">
                  <c:v>197</c:v>
                </c:pt>
                <c:pt idx="1">
                  <c:v>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  <c:pt idx="0">
                  <c:v>-150</c:v>
                </c:pt>
                <c:pt idx="1">
                  <c:v>277.5</c:v>
                </c:pt>
                <c:pt idx="2">
                  <c:v>315</c:v>
                </c:pt>
                <c:pt idx="3">
                  <c:v>343.5</c:v>
                </c:pt>
                <c:pt idx="4">
                  <c:v>590</c:v>
                </c:pt>
                <c:pt idx="5">
                  <c:v>740</c:v>
                </c:pt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  <c:pt idx="0">
                  <c:v>302</c:v>
                </c:pt>
                <c:pt idx="1">
                  <c:v>302</c:v>
                </c:pt>
                <c:pt idx="2">
                  <c:v>275</c:v>
                </c:pt>
                <c:pt idx="3">
                  <c:v>240</c:v>
                </c:pt>
                <c:pt idx="4">
                  <c:v>227</c:v>
                </c:pt>
                <c:pt idx="5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  <c:pt idx="0">
                  <c:v>-150</c:v>
                </c:pt>
                <c:pt idx="1">
                  <c:v>0</c:v>
                </c:pt>
                <c:pt idx="2">
                  <c:v>225</c:v>
                </c:pt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  <c:pt idx="0">
                  <c:v>227</c:v>
                </c:pt>
                <c:pt idx="1">
                  <c:v>227</c:v>
                </c:pt>
                <c:pt idx="2">
                  <c:v>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  <c:pt idx="0">
                  <c:v>320</c:v>
                </c:pt>
                <c:pt idx="1">
                  <c:v>590</c:v>
                </c:pt>
                <c:pt idx="2">
                  <c:v>740</c:v>
                </c:pt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  <c:pt idx="0">
                  <c:v>317</c:v>
                </c:pt>
                <c:pt idx="1">
                  <c:v>227</c:v>
                </c:pt>
                <c:pt idx="2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  <c:pt idx="0">
                  <c:v>-150</c:v>
                </c:pt>
                <c:pt idx="1">
                  <c:v>0</c:v>
                </c:pt>
                <c:pt idx="2">
                  <c:v>225</c:v>
                </c:pt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  <c:pt idx="0">
                  <c:v>227</c:v>
                </c:pt>
                <c:pt idx="1">
                  <c:v>227</c:v>
                </c:pt>
                <c:pt idx="2">
                  <c:v>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zoomScale="140" zoomScaleNormal="140" workbookViewId="0">
      <selection activeCell="C26" sqref="C26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101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8</v>
      </c>
    </row>
    <row r="7" spans="1:7" x14ac:dyDescent="0.2">
      <c r="B7" s="44" t="s">
        <v>47</v>
      </c>
      <c r="C7" s="44"/>
      <c r="D7" s="44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121</v>
      </c>
      <c r="G8" t="s">
        <v>122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123</v>
      </c>
      <c r="G15" t="s">
        <v>125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98</v>
      </c>
      <c r="G17" s="9" t="s">
        <v>127</v>
      </c>
    </row>
    <row r="18" spans="2:7" x14ac:dyDescent="0.2">
      <c r="F18" s="1" t="s">
        <v>124</v>
      </c>
      <c r="G18" s="9" t="s">
        <v>126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25" zoomScaleNormal="140"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J15" sqref="J15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87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90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91</v>
      </c>
      <c r="K5" s="9" t="s">
        <v>89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5" t="s">
        <v>57</v>
      </c>
      <c r="D7" s="45"/>
      <c r="E7" s="45"/>
      <c r="F7" s="45"/>
      <c r="G7" s="45"/>
      <c r="H7" s="45"/>
      <c r="I7" s="45"/>
      <c r="J7" s="45"/>
      <c r="K7" s="1"/>
      <c r="L7" s="45" t="s">
        <v>58</v>
      </c>
      <c r="M7" s="45"/>
      <c r="N7" s="45"/>
      <c r="O7" s="45"/>
      <c r="P7" s="45"/>
      <c r="Q7" s="45"/>
      <c r="R7" s="45" t="s">
        <v>95</v>
      </c>
      <c r="S7" s="45"/>
      <c r="T7" s="45"/>
      <c r="U7" s="45"/>
      <c r="V7" s="45"/>
      <c r="W7" s="45" t="s">
        <v>102</v>
      </c>
      <c r="X7" s="45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6" t="s">
        <v>81</v>
      </c>
      <c r="K8" s="21" t="s">
        <v>88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82</v>
      </c>
      <c r="Q8" s="23" t="s">
        <v>83</v>
      </c>
      <c r="R8" s="25" t="s">
        <v>92</v>
      </c>
      <c r="S8" s="25" t="s">
        <v>93</v>
      </c>
      <c r="T8" s="25" t="s">
        <v>94</v>
      </c>
      <c r="U8" s="25" t="s">
        <v>99</v>
      </c>
      <c r="V8" s="25" t="s">
        <v>100</v>
      </c>
      <c r="W8" s="29" t="s">
        <v>103</v>
      </c>
      <c r="X8" s="30" t="s">
        <v>104</v>
      </c>
    </row>
    <row r="9" spans="1:24" x14ac:dyDescent="0.2">
      <c r="A9" s="3">
        <v>1</v>
      </c>
      <c r="B9" s="3" t="s">
        <v>153</v>
      </c>
      <c r="C9" s="3">
        <v>125</v>
      </c>
      <c r="D9" s="3" t="s">
        <v>67</v>
      </c>
      <c r="E9" s="3">
        <v>0</v>
      </c>
      <c r="F9" s="3">
        <v>34</v>
      </c>
      <c r="G9" s="3"/>
      <c r="H9" s="3"/>
      <c r="I9" s="3"/>
      <c r="J9" s="3"/>
      <c r="K9" s="3" t="s">
        <v>21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43">
        <v>700000</v>
      </c>
      <c r="X9" s="17">
        <v>0.3</v>
      </c>
    </row>
    <row r="10" spans="1:24" x14ac:dyDescent="0.2">
      <c r="A10" s="3">
        <v>2</v>
      </c>
      <c r="B10" s="3" t="s">
        <v>154</v>
      </c>
      <c r="C10" s="3">
        <v>122</v>
      </c>
      <c r="D10" s="3" t="s">
        <v>67</v>
      </c>
      <c r="E10" s="3">
        <v>100</v>
      </c>
      <c r="F10" s="3">
        <v>26</v>
      </c>
      <c r="G10" s="3"/>
      <c r="H10" s="3"/>
      <c r="I10" s="3">
        <v>300</v>
      </c>
      <c r="J10" s="3">
        <v>20</v>
      </c>
      <c r="K10" s="3" t="s">
        <v>21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43">
        <v>700000</v>
      </c>
      <c r="X10" s="17">
        <v>0.3</v>
      </c>
    </row>
    <row r="11" spans="1:24" x14ac:dyDescent="0.2">
      <c r="A11" s="3">
        <v>3</v>
      </c>
      <c r="B11" s="3" t="s">
        <v>155</v>
      </c>
      <c r="C11" s="3">
        <v>123</v>
      </c>
      <c r="D11" s="3" t="s">
        <v>67</v>
      </c>
      <c r="E11" s="3">
        <v>0</v>
      </c>
      <c r="F11" s="3">
        <v>24</v>
      </c>
      <c r="G11" s="3"/>
      <c r="H11" s="3"/>
      <c r="I11" s="3">
        <v>100</v>
      </c>
      <c r="J11" s="3">
        <v>19</v>
      </c>
      <c r="K11" s="3" t="s">
        <v>21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43">
        <v>700000</v>
      </c>
      <c r="X11" s="17">
        <v>0.3</v>
      </c>
    </row>
    <row r="12" spans="1:24" x14ac:dyDescent="0.2">
      <c r="A12" s="3">
        <v>4</v>
      </c>
      <c r="B12" s="3" t="s">
        <v>156</v>
      </c>
      <c r="C12" s="3">
        <v>127</v>
      </c>
      <c r="D12" s="3" t="s">
        <v>67</v>
      </c>
      <c r="E12" s="3">
        <v>0</v>
      </c>
      <c r="F12" s="3">
        <v>32</v>
      </c>
      <c r="G12" s="3"/>
      <c r="H12" s="3"/>
      <c r="I12" s="3"/>
      <c r="J12" s="3"/>
      <c r="K12" s="3" t="s">
        <v>21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43">
        <v>700000</v>
      </c>
      <c r="X12" s="17">
        <v>0.3</v>
      </c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E9:F50">
    <cfRule type="expression" dxfId="8" priority="2">
      <formula>$D9="cp"</formula>
    </cfRule>
  </conditionalFormatting>
  <conditionalFormatting sqref="G9:H50">
    <cfRule type="expression" dxfId="7" priority="3">
      <formula>$D9="mc"</formula>
    </cfRule>
  </conditionalFormatting>
  <conditionalFormatting sqref="I9:J50">
    <cfRule type="expression" dxfId="6" priority="1">
      <formula>$D9="cp"</formula>
    </cfRule>
  </conditionalFormatting>
  <conditionalFormatting sqref="M9:N50">
    <cfRule type="expression" dxfId="5" priority="9">
      <formula>$D9="cp"</formula>
    </cfRule>
  </conditionalFormatting>
  <conditionalFormatting sqref="O9:O50">
    <cfRule type="expression" dxfId="4" priority="16">
      <formula>$D9="mc"</formula>
    </cfRule>
  </conditionalFormatting>
  <conditionalFormatting sqref="P9:Q50">
    <cfRule type="expression" dxfId="3" priority="11">
      <formula>$D9="cp"</formula>
    </cfRule>
  </conditionalFormatting>
  <dataValidations count="3">
    <dataValidation type="list" allowBlank="1" showInputMessage="1" showErrorMessage="1" sqref="D13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  <dataValidation type="list" allowBlank="1" showInputMessage="1" showErrorMessage="1" sqref="D9:D12" xr:uid="{F6CF285D-AF8C-554B-AF85-6DFB49CE3E59}">
      <formula1>$C$22:$C$23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tabSelected="1" zoomScale="140" zoomScaleNormal="140" workbookViewId="0">
      <selection activeCell="D15" sqref="D15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182</v>
      </c>
      <c r="D2" s="27" t="s">
        <v>96</v>
      </c>
    </row>
    <row r="4" spans="1:44" x14ac:dyDescent="0.2">
      <c r="A4" s="46" t="s">
        <v>2</v>
      </c>
      <c r="B4" s="46"/>
      <c r="D4" s="46" t="s">
        <v>5</v>
      </c>
      <c r="E4" s="46"/>
      <c r="G4" s="46" t="s">
        <v>6</v>
      </c>
      <c r="H4" s="46"/>
      <c r="J4" s="46" t="s">
        <v>7</v>
      </c>
      <c r="K4" s="46"/>
      <c r="M4" s="46" t="s">
        <v>8</v>
      </c>
      <c r="N4" s="46"/>
      <c r="P4" s="46" t="s">
        <v>9</v>
      </c>
      <c r="Q4" s="46"/>
      <c r="R4" s="1"/>
      <c r="S4" s="46" t="s">
        <v>10</v>
      </c>
      <c r="T4" s="46"/>
      <c r="U4" s="1"/>
      <c r="V4" s="46" t="s">
        <v>11</v>
      </c>
      <c r="W4" s="46"/>
      <c r="X4" s="1"/>
      <c r="Y4" s="46" t="s">
        <v>12</v>
      </c>
      <c r="Z4" s="46"/>
      <c r="AA4" s="1"/>
      <c r="AB4" s="46" t="s">
        <v>13</v>
      </c>
      <c r="AC4" s="46"/>
      <c r="AE4" s="46" t="s">
        <v>116</v>
      </c>
      <c r="AF4" s="46"/>
      <c r="AG4" s="1"/>
      <c r="AH4" s="46" t="s">
        <v>117</v>
      </c>
      <c r="AI4" s="46"/>
      <c r="AJ4" s="1"/>
      <c r="AK4" s="46" t="s">
        <v>118</v>
      </c>
      <c r="AL4" s="46"/>
      <c r="AM4" s="1"/>
      <c r="AN4" s="46" t="s">
        <v>119</v>
      </c>
      <c r="AO4" s="46"/>
      <c r="AP4" s="1"/>
      <c r="AQ4" s="46" t="s">
        <v>120</v>
      </c>
      <c r="AR4" s="46"/>
    </row>
    <row r="5" spans="1:44" x14ac:dyDescent="0.2">
      <c r="A5" s="41" t="s">
        <v>128</v>
      </c>
      <c r="B5" s="42">
        <v>1</v>
      </c>
      <c r="D5" s="41" t="s">
        <v>128</v>
      </c>
      <c r="E5" s="42">
        <v>2</v>
      </c>
      <c r="G5" s="41" t="s">
        <v>128</v>
      </c>
      <c r="H5" s="42">
        <v>3</v>
      </c>
      <c r="J5" s="41" t="s">
        <v>128</v>
      </c>
      <c r="K5" s="42">
        <v>4</v>
      </c>
      <c r="M5" s="41" t="s">
        <v>128</v>
      </c>
      <c r="N5" s="42">
        <v>5</v>
      </c>
      <c r="P5" s="41" t="s">
        <v>128</v>
      </c>
      <c r="Q5" s="42">
        <v>6</v>
      </c>
      <c r="R5" s="1"/>
      <c r="S5" s="41" t="s">
        <v>128</v>
      </c>
      <c r="T5" s="42">
        <v>7</v>
      </c>
      <c r="U5" s="1"/>
      <c r="V5" s="41" t="s">
        <v>128</v>
      </c>
      <c r="W5" s="42">
        <v>8</v>
      </c>
      <c r="X5" s="1"/>
      <c r="Y5" s="41" t="s">
        <v>128</v>
      </c>
      <c r="Z5" s="42">
        <v>9</v>
      </c>
      <c r="AA5" s="1"/>
      <c r="AB5" s="41" t="s">
        <v>128</v>
      </c>
      <c r="AC5" s="42">
        <v>10</v>
      </c>
      <c r="AE5" s="41" t="s">
        <v>128</v>
      </c>
      <c r="AF5" s="42">
        <v>11</v>
      </c>
      <c r="AG5" s="1"/>
      <c r="AH5" s="41" t="s">
        <v>128</v>
      </c>
      <c r="AI5" s="42">
        <v>12</v>
      </c>
      <c r="AJ5" s="1"/>
      <c r="AK5" s="41" t="s">
        <v>128</v>
      </c>
      <c r="AL5" s="42">
        <v>13</v>
      </c>
      <c r="AM5" s="1"/>
      <c r="AN5" s="41" t="s">
        <v>128</v>
      </c>
      <c r="AO5" s="42">
        <v>14</v>
      </c>
      <c r="AP5" s="1"/>
      <c r="AQ5" s="41" t="s">
        <v>128</v>
      </c>
      <c r="AR5" s="42">
        <v>15</v>
      </c>
    </row>
    <row r="6" spans="1:44" x14ac:dyDescent="0.2">
      <c r="A6" s="47" t="str">
        <f>_xlfn.XLOOKUP(B5,mat!$A:$A, mat!$B:$B,"") &amp; ""</f>
        <v>Shell</v>
      </c>
      <c r="B6" s="48"/>
      <c r="D6" s="47" t="str">
        <f>_xlfn.XLOOKUP(E5,mat!$A:$A, mat!$B:$B,"") &amp; ""</f>
        <v>Core</v>
      </c>
      <c r="E6" s="48"/>
      <c r="G6" s="47" t="str">
        <f>_xlfn.XLOOKUP(H5,mat!$A:$A, mat!$B:$B,"") &amp; ""</f>
        <v>Clay</v>
      </c>
      <c r="H6" s="48"/>
      <c r="J6" s="47" t="str">
        <f>_xlfn.XLOOKUP(K5,mat!$A:$A, mat!$B:$B,"") &amp; ""</f>
        <v>Sand</v>
      </c>
      <c r="K6" s="48"/>
      <c r="M6" s="47" t="str">
        <f>_xlfn.XLOOKUP(N5,mat!$A:$A, mat!$B:$B,"") &amp; ""</f>
        <v/>
      </c>
      <c r="N6" s="48"/>
      <c r="P6" s="47" t="str">
        <f>_xlfn.XLOOKUP(Q5,mat!$A:$A, mat!$B:$B,"") &amp; ""</f>
        <v/>
      </c>
      <c r="Q6" s="48"/>
      <c r="R6" s="1"/>
      <c r="S6" s="47" t="str">
        <f>_xlfn.XLOOKUP(T5,mat!$A:$A, mat!$B:$B,"") &amp; ""</f>
        <v/>
      </c>
      <c r="T6" s="48"/>
      <c r="U6" s="1"/>
      <c r="V6" s="47" t="str">
        <f>_xlfn.XLOOKUP(W5,mat!$A:$A, mat!$B:$B,"") &amp; ""</f>
        <v/>
      </c>
      <c r="W6" s="48"/>
      <c r="X6" s="1"/>
      <c r="Y6" s="47" t="str">
        <f>_xlfn.XLOOKUP(Z5,mat!$A:$A, mat!$B:$B,"") &amp; ""</f>
        <v/>
      </c>
      <c r="Z6" s="48"/>
      <c r="AA6" s="1"/>
      <c r="AB6" s="47" t="str">
        <f>_xlfn.XLOOKUP(AC5,mat!$A:$A, mat!$B:$B,"") &amp; ""</f>
        <v/>
      </c>
      <c r="AC6" s="48"/>
      <c r="AE6" s="47" t="str">
        <f>_xlfn.XLOOKUP(AF5,mat!$A:$A, mat!$B:$B,"") &amp; ""</f>
        <v/>
      </c>
      <c r="AF6" s="48"/>
      <c r="AG6" s="1"/>
      <c r="AH6" s="47" t="str">
        <f>_xlfn.XLOOKUP(AI5,mat!$A:$A, mat!$B:$B,"") &amp; ""</f>
        <v/>
      </c>
      <c r="AI6" s="48"/>
      <c r="AJ6" s="1"/>
      <c r="AK6" s="47" t="str">
        <f>_xlfn.XLOOKUP(AL5,mat!$A:$A, mat!$B:$B,"") &amp; ""</f>
        <v/>
      </c>
      <c r="AL6" s="48"/>
      <c r="AM6" s="1"/>
      <c r="AN6" s="47" t="str">
        <f>_xlfn.XLOOKUP(AO5,mat!$A:$A, mat!$B:$B,"") &amp; ""</f>
        <v/>
      </c>
      <c r="AO6" s="48"/>
      <c r="AP6" s="1"/>
      <c r="AQ6" s="47" t="str">
        <f>_xlfn.XLOOKUP(AR5,mat!$A:$A, mat!$B:$B,"") &amp; ""</f>
        <v/>
      </c>
      <c r="AR6" s="48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</v>
      </c>
      <c r="B8" s="3">
        <v>227</v>
      </c>
      <c r="D8" s="3">
        <v>240</v>
      </c>
      <c r="E8" s="3">
        <v>227</v>
      </c>
      <c r="G8" s="3">
        <v>-150</v>
      </c>
      <c r="H8" s="3">
        <v>227</v>
      </c>
      <c r="J8" s="3">
        <v>-150</v>
      </c>
      <c r="K8" s="3">
        <v>197</v>
      </c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270</v>
      </c>
      <c r="B9" s="3">
        <v>317</v>
      </c>
      <c r="D9" s="3">
        <v>280</v>
      </c>
      <c r="E9" s="3">
        <v>307</v>
      </c>
      <c r="G9" s="3">
        <v>740</v>
      </c>
      <c r="H9" s="3">
        <v>227</v>
      </c>
      <c r="J9" s="3">
        <v>740</v>
      </c>
      <c r="K9" s="3">
        <v>197</v>
      </c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320</v>
      </c>
      <c r="B10" s="3">
        <v>317</v>
      </c>
      <c r="D10" s="3">
        <v>310</v>
      </c>
      <c r="E10" s="3">
        <v>307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590</v>
      </c>
      <c r="B11" s="3">
        <v>227</v>
      </c>
      <c r="D11" s="3">
        <v>350</v>
      </c>
      <c r="E11" s="3">
        <v>227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K10" sqref="K10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49" t="s">
        <v>86</v>
      </c>
      <c r="B2" s="49"/>
      <c r="D2" s="50" t="s">
        <v>84</v>
      </c>
      <c r="E2" s="50"/>
      <c r="G2" s="24" t="s">
        <v>85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>
        <v>-150</v>
      </c>
      <c r="B4" s="3">
        <v>302</v>
      </c>
      <c r="D4" s="3"/>
      <c r="E4" s="3"/>
    </row>
    <row r="5" spans="1:7" x14ac:dyDescent="0.2">
      <c r="A5" s="3">
        <v>277.5</v>
      </c>
      <c r="B5" s="3">
        <v>302</v>
      </c>
      <c r="D5" s="3"/>
      <c r="E5" s="3"/>
    </row>
    <row r="6" spans="1:7" x14ac:dyDescent="0.2">
      <c r="A6" s="3">
        <v>315</v>
      </c>
      <c r="B6" s="3">
        <v>275</v>
      </c>
      <c r="D6" s="3"/>
      <c r="E6" s="3"/>
    </row>
    <row r="7" spans="1:7" x14ac:dyDescent="0.2">
      <c r="A7" s="3">
        <v>343.5</v>
      </c>
      <c r="B7" s="3">
        <v>240</v>
      </c>
      <c r="D7" s="3"/>
      <c r="E7" s="3"/>
    </row>
    <row r="8" spans="1:7" x14ac:dyDescent="0.2">
      <c r="A8" s="3">
        <v>590</v>
      </c>
      <c r="B8" s="3">
        <v>227</v>
      </c>
      <c r="D8" s="3"/>
      <c r="E8" s="3"/>
    </row>
    <row r="9" spans="1:7" x14ac:dyDescent="0.2">
      <c r="A9" s="3">
        <v>740</v>
      </c>
      <c r="B9" s="3">
        <v>227</v>
      </c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D21" sqref="D2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16">
        <v>490</v>
      </c>
      <c r="C3" s="17">
        <v>500</v>
      </c>
      <c r="D3" s="3" t="s">
        <v>26</v>
      </c>
      <c r="E3" s="3">
        <v>197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18">
        <v>490</v>
      </c>
      <c r="C4" s="19">
        <v>500</v>
      </c>
      <c r="D4" s="3" t="s">
        <v>26</v>
      </c>
      <c r="E4" s="3">
        <v>182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18"/>
      <c r="C5" s="19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A24DC59F-CA93-B24F-B2B4-96F00282932C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F26" sqref="F26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B4" sqref="B4:D6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1" t="s">
        <v>129</v>
      </c>
      <c r="C2" s="51"/>
      <c r="D2" s="51"/>
      <c r="F2" s="51" t="s">
        <v>130</v>
      </c>
      <c r="G2" s="51"/>
      <c r="H2" s="51"/>
      <c r="J2" s="51" t="s">
        <v>131</v>
      </c>
      <c r="K2" s="51"/>
      <c r="L2" s="51"/>
      <c r="N2" s="51" t="s">
        <v>132</v>
      </c>
      <c r="O2" s="51"/>
      <c r="P2" s="51"/>
      <c r="R2" s="51" t="s">
        <v>133</v>
      </c>
      <c r="S2" s="51"/>
      <c r="T2" s="51"/>
      <c r="V2" s="51" t="s">
        <v>134</v>
      </c>
      <c r="W2" s="51"/>
      <c r="X2" s="5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-150</v>
      </c>
      <c r="C4" s="3">
        <v>227</v>
      </c>
      <c r="D4" s="3">
        <v>4680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0</v>
      </c>
      <c r="C5" s="3">
        <v>227</v>
      </c>
      <c r="D5" s="3">
        <v>4680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225</v>
      </c>
      <c r="C6" s="3">
        <v>302</v>
      </c>
      <c r="D6" s="3">
        <v>0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2" t="s">
        <v>147</v>
      </c>
      <c r="C2" s="52"/>
      <c r="D2" s="52"/>
      <c r="F2" s="52" t="s">
        <v>148</v>
      </c>
      <c r="G2" s="52"/>
      <c r="H2" s="52"/>
      <c r="J2" s="52" t="s">
        <v>149</v>
      </c>
      <c r="K2" s="52"/>
      <c r="L2" s="52"/>
      <c r="N2" s="52" t="s">
        <v>150</v>
      </c>
      <c r="O2" s="52"/>
      <c r="P2" s="52"/>
      <c r="R2" s="52" t="s">
        <v>151</v>
      </c>
      <c r="S2" s="52"/>
      <c r="T2" s="52"/>
      <c r="V2" s="52" t="s">
        <v>152</v>
      </c>
      <c r="W2" s="52"/>
      <c r="X2" s="52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L25" sqref="L25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105</v>
      </c>
      <c r="C2" s="12" t="s">
        <v>106</v>
      </c>
      <c r="D2" s="12" t="s">
        <v>107</v>
      </c>
      <c r="E2" s="12" t="s">
        <v>108</v>
      </c>
      <c r="F2" s="32" t="s">
        <v>110</v>
      </c>
      <c r="G2" s="33" t="s">
        <v>115</v>
      </c>
      <c r="H2" s="32" t="s">
        <v>113</v>
      </c>
      <c r="I2" s="32" t="s">
        <v>114</v>
      </c>
      <c r="J2" s="33" t="s">
        <v>103</v>
      </c>
      <c r="K2" s="33" t="s">
        <v>109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M19" s="31"/>
      <c r="N19" s="9" t="s">
        <v>112</v>
      </c>
    </row>
    <row r="20" spans="1:14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M20" s="34"/>
      <c r="N20" s="9" t="s">
        <v>111</v>
      </c>
    </row>
    <row r="21" spans="1:14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4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4" x14ac:dyDescent="0.2">
      <c r="H24" s="9"/>
      <c r="I24" s="9"/>
    </row>
    <row r="25" spans="1:14" x14ac:dyDescent="0.2">
      <c r="H25" s="9"/>
      <c r="I2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I28" sqref="I28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3" t="s">
        <v>140</v>
      </c>
      <c r="C2" s="53"/>
      <c r="E2" s="49" t="s">
        <v>135</v>
      </c>
      <c r="F2" s="49"/>
      <c r="H2" s="49" t="s">
        <v>136</v>
      </c>
      <c r="I2" s="49"/>
      <c r="K2" s="49" t="s">
        <v>137</v>
      </c>
      <c r="L2" s="49"/>
      <c r="N2" s="49" t="s">
        <v>138</v>
      </c>
      <c r="O2" s="49"/>
      <c r="Q2" s="49" t="s">
        <v>139</v>
      </c>
      <c r="R2" s="49"/>
    </row>
    <row r="3" spans="2:18" x14ac:dyDescent="0.2">
      <c r="B3" s="53"/>
      <c r="C3" s="53"/>
      <c r="E3" s="37" t="s">
        <v>97</v>
      </c>
      <c r="F3" s="38">
        <v>302</v>
      </c>
      <c r="H3" s="37" t="s">
        <v>97</v>
      </c>
      <c r="I3" s="38"/>
      <c r="K3" s="37" t="s">
        <v>97</v>
      </c>
      <c r="L3" s="38"/>
      <c r="N3" s="37" t="s">
        <v>97</v>
      </c>
      <c r="O3" s="38"/>
      <c r="Q3" s="37" t="s">
        <v>97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>
        <v>320</v>
      </c>
      <c r="C5" s="3">
        <v>317</v>
      </c>
      <c r="E5" s="3">
        <v>-150</v>
      </c>
      <c r="F5" s="3">
        <v>227</v>
      </c>
      <c r="H5" s="3"/>
      <c r="I5" s="3"/>
      <c r="K5" s="3"/>
      <c r="L5" s="3"/>
      <c r="N5" s="3"/>
      <c r="O5" s="3"/>
      <c r="Q5" s="3"/>
      <c r="R5" s="3"/>
    </row>
    <row r="6" spans="2:18" x14ac:dyDescent="0.2">
      <c r="B6" s="3">
        <v>590</v>
      </c>
      <c r="C6" s="3">
        <v>227</v>
      </c>
      <c r="E6" s="3">
        <v>0</v>
      </c>
      <c r="F6" s="3">
        <v>227</v>
      </c>
      <c r="H6" s="3"/>
      <c r="I6" s="3"/>
      <c r="K6" s="3"/>
      <c r="L6" s="3"/>
      <c r="N6" s="3"/>
      <c r="O6" s="3"/>
      <c r="Q6" s="3"/>
      <c r="R6" s="3"/>
    </row>
    <row r="7" spans="2:18" x14ac:dyDescent="0.2">
      <c r="B7" s="3">
        <v>740</v>
      </c>
      <c r="C7" s="3">
        <v>227</v>
      </c>
      <c r="E7" s="3">
        <v>225</v>
      </c>
      <c r="F7" s="3">
        <v>302</v>
      </c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4" t="s">
        <v>142</v>
      </c>
      <c r="C2" s="54"/>
      <c r="E2" s="50" t="s">
        <v>141</v>
      </c>
      <c r="F2" s="50"/>
      <c r="H2" s="50" t="s">
        <v>143</v>
      </c>
      <c r="I2" s="50"/>
      <c r="K2" s="50" t="s">
        <v>144</v>
      </c>
      <c r="L2" s="50"/>
      <c r="N2" s="50" t="s">
        <v>145</v>
      </c>
      <c r="O2" s="50"/>
      <c r="Q2" s="50" t="s">
        <v>146</v>
      </c>
      <c r="R2" s="50"/>
    </row>
    <row r="3" spans="2:18" x14ac:dyDescent="0.2">
      <c r="B3" s="54"/>
      <c r="C3" s="54"/>
      <c r="E3" s="39" t="s">
        <v>97</v>
      </c>
      <c r="F3" s="40"/>
      <c r="H3" s="39" t="s">
        <v>97</v>
      </c>
      <c r="I3" s="40"/>
      <c r="K3" s="39" t="s">
        <v>97</v>
      </c>
      <c r="L3" s="40"/>
      <c r="N3" s="39" t="s">
        <v>97</v>
      </c>
      <c r="O3" s="40"/>
      <c r="Q3" s="39" t="s">
        <v>97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main</vt:lpstr>
      <vt:lpstr>plot</vt:lpstr>
      <vt:lpstr>mat</vt:lpstr>
      <vt:lpstr>profile</vt:lpstr>
      <vt:lpstr>piezo</vt:lpstr>
      <vt:lpstr>circles</vt:lpstr>
      <vt:lpstr>non-circ</vt:lpstr>
      <vt:lpstr>dloads</vt:lpstr>
      <vt:lpstr>dloads (2)</vt:lpstr>
      <vt:lpstr>reinforce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2026-04-05T17:31:32Z</dcterms:modified>
</cp:coreProperties>
</file>